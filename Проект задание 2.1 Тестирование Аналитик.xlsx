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ROG STRIX\Desktop\Проект\"/>
    </mc:Choice>
  </mc:AlternateContent>
  <xr:revisionPtr revIDLastSave="0" documentId="13_ncr:1_{022AE574-77AF-465E-9B38-28DD4298E1FF}" xr6:coauthVersionLast="45" xr6:coauthVersionMax="45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  <sheet name="Лист2" sheetId="2" r:id="rId2"/>
    <sheet name="1.1 Сводная таблица" sheetId="6" r:id="rId3"/>
    <sheet name="1.1.а Топ-3" sheetId="4" r:id="rId4"/>
    <sheet name="1.2 Динамика" sheetId="5" r:id="rId5"/>
  </sheets>
  <definedNames>
    <definedName name="_xlnm._FilterDatabase" localSheetId="0" hidden="1">Лист1!$A$1:$K$1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8" i="1" l="1"/>
  <c r="I45" i="1"/>
  <c r="I69" i="1"/>
  <c r="I99" i="1"/>
  <c r="I126" i="1"/>
  <c r="I150" i="1"/>
  <c r="I177" i="1"/>
  <c r="I204" i="1"/>
  <c r="I234" i="1"/>
  <c r="I258" i="1"/>
  <c r="I298" i="1"/>
  <c r="I315" i="1"/>
  <c r="I352" i="1"/>
  <c r="I10" i="1"/>
  <c r="I37" i="1"/>
  <c r="I61" i="1"/>
  <c r="I91" i="1"/>
  <c r="I118" i="1"/>
  <c r="I142" i="1"/>
  <c r="I169" i="1"/>
  <c r="I196" i="1"/>
  <c r="I226" i="1"/>
  <c r="I250" i="1"/>
  <c r="I297" i="1"/>
  <c r="I307" i="1"/>
  <c r="I351" i="1"/>
  <c r="I24" i="1"/>
  <c r="I51" i="1"/>
  <c r="I78" i="1"/>
  <c r="I105" i="1"/>
  <c r="I132" i="1"/>
  <c r="I159" i="1"/>
  <c r="I186" i="1"/>
  <c r="I213" i="1"/>
  <c r="I240" i="1"/>
  <c r="I267" i="1"/>
  <c r="I292" i="1"/>
  <c r="I321" i="1"/>
  <c r="I346" i="1"/>
  <c r="I373" i="1"/>
  <c r="I13" i="1"/>
  <c r="I40" i="1"/>
  <c r="I64" i="1"/>
  <c r="I94" i="1"/>
  <c r="I121" i="1"/>
  <c r="I145" i="1"/>
  <c r="I172" i="1"/>
  <c r="I199" i="1"/>
  <c r="I229" i="1"/>
  <c r="I253" i="1"/>
  <c r="I279" i="1"/>
  <c r="I310" i="1"/>
  <c r="I333" i="1"/>
  <c r="I363" i="1"/>
  <c r="I11" i="1"/>
  <c r="I38" i="1"/>
  <c r="I62" i="1"/>
  <c r="I92" i="1"/>
  <c r="I119" i="1"/>
  <c r="I143" i="1"/>
  <c r="I170" i="1"/>
  <c r="I197" i="1"/>
  <c r="I227" i="1"/>
  <c r="I251" i="1"/>
  <c r="I277" i="1"/>
  <c r="I308" i="1"/>
  <c r="I331" i="1"/>
  <c r="I361" i="1"/>
  <c r="I20" i="1"/>
  <c r="I47" i="1"/>
  <c r="I72" i="1"/>
  <c r="I101" i="1"/>
  <c r="I128" i="1"/>
  <c r="I153" i="1"/>
  <c r="I180" i="1"/>
  <c r="I207" i="1"/>
  <c r="I236" i="1"/>
  <c r="I261" i="1"/>
  <c r="I286" i="1"/>
  <c r="I317" i="1"/>
  <c r="I340" i="1"/>
  <c r="I369" i="1"/>
  <c r="I9" i="1"/>
  <c r="I36" i="1"/>
  <c r="I60" i="1"/>
  <c r="I90" i="1"/>
  <c r="I117" i="1"/>
  <c r="I141" i="1"/>
  <c r="I168" i="1"/>
  <c r="I195" i="1"/>
  <c r="I225" i="1"/>
  <c r="I249" i="1"/>
  <c r="I276" i="1"/>
  <c r="I306" i="1"/>
  <c r="I330" i="1"/>
  <c r="I360" i="1"/>
  <c r="I17" i="1"/>
  <c r="I44" i="1"/>
  <c r="I68" i="1"/>
  <c r="I98" i="1"/>
  <c r="I125" i="1"/>
  <c r="I149" i="1"/>
  <c r="I176" i="1"/>
  <c r="I203" i="1"/>
  <c r="I233" i="1"/>
  <c r="I257" i="1"/>
  <c r="I283" i="1"/>
  <c r="I314" i="1"/>
  <c r="I337" i="1"/>
  <c r="I367" i="1"/>
  <c r="I21" i="1"/>
  <c r="I48" i="1"/>
  <c r="I74" i="1"/>
  <c r="I102" i="1"/>
  <c r="I129" i="1"/>
  <c r="I155" i="1"/>
  <c r="I182" i="1"/>
  <c r="I209" i="1"/>
  <c r="I237" i="1"/>
  <c r="I263" i="1"/>
  <c r="I288" i="1"/>
  <c r="I318" i="1"/>
  <c r="I342" i="1"/>
  <c r="I370" i="1"/>
  <c r="I27" i="1"/>
  <c r="I54" i="1"/>
  <c r="I81" i="1"/>
  <c r="I108" i="1"/>
  <c r="I135" i="1"/>
  <c r="I162" i="1"/>
  <c r="I189" i="1"/>
  <c r="I216" i="1"/>
  <c r="I243" i="1"/>
  <c r="I270" i="1"/>
  <c r="I295" i="1"/>
  <c r="I324" i="1"/>
  <c r="I349" i="1"/>
  <c r="I376" i="1"/>
  <c r="I26" i="1"/>
  <c r="I53" i="1"/>
  <c r="I80" i="1"/>
  <c r="I107" i="1"/>
  <c r="I134" i="1"/>
  <c r="I161" i="1"/>
  <c r="I188" i="1"/>
  <c r="I215" i="1"/>
  <c r="I242" i="1"/>
  <c r="I269" i="1"/>
  <c r="I294" i="1"/>
  <c r="I323" i="1"/>
  <c r="I348" i="1"/>
  <c r="I375" i="1"/>
  <c r="I8" i="1"/>
  <c r="I35" i="1"/>
  <c r="I59" i="1"/>
  <c r="I89" i="1"/>
  <c r="I116" i="1"/>
  <c r="I140" i="1"/>
  <c r="I167" i="1"/>
  <c r="I194" i="1"/>
  <c r="I224" i="1"/>
  <c r="I248" i="1"/>
  <c r="I275" i="1"/>
  <c r="I305" i="1"/>
  <c r="I329" i="1"/>
  <c r="I359" i="1"/>
  <c r="I25" i="1"/>
  <c r="I52" i="1"/>
  <c r="I79" i="1"/>
  <c r="I106" i="1"/>
  <c r="I133" i="1"/>
  <c r="I160" i="1"/>
  <c r="I187" i="1"/>
  <c r="I214" i="1"/>
  <c r="I241" i="1"/>
  <c r="I268" i="1"/>
  <c r="I293" i="1"/>
  <c r="I322" i="1"/>
  <c r="I347" i="1"/>
  <c r="I374" i="1"/>
  <c r="I387" i="1"/>
  <c r="I400" i="1"/>
  <c r="I407" i="1"/>
  <c r="I416" i="1"/>
  <c r="I424" i="1"/>
  <c r="I431" i="1"/>
  <c r="I439" i="1"/>
  <c r="I447" i="1"/>
  <c r="I456" i="1"/>
  <c r="I463" i="1"/>
  <c r="I471" i="1"/>
  <c r="I480" i="1"/>
  <c r="I487" i="1"/>
  <c r="I496" i="1"/>
  <c r="I14" i="1"/>
  <c r="I41" i="1"/>
  <c r="I65" i="1"/>
  <c r="I95" i="1"/>
  <c r="I122" i="1"/>
  <c r="I146" i="1"/>
  <c r="I173" i="1"/>
  <c r="I200" i="1"/>
  <c r="I230" i="1"/>
  <c r="I254" i="1"/>
  <c r="I280" i="1"/>
  <c r="I311" i="1"/>
  <c r="I334" i="1"/>
  <c r="I364" i="1"/>
  <c r="I19" i="1"/>
  <c r="I46" i="1"/>
  <c r="I70" i="1"/>
  <c r="I100" i="1"/>
  <c r="I127" i="1"/>
  <c r="I151" i="1"/>
  <c r="I178" i="1"/>
  <c r="I205" i="1"/>
  <c r="I235" i="1"/>
  <c r="I259" i="1"/>
  <c r="I284" i="1"/>
  <c r="I316" i="1"/>
  <c r="I338" i="1"/>
  <c r="I368" i="1"/>
  <c r="I391" i="1"/>
  <c r="I402" i="1"/>
  <c r="I410" i="1"/>
  <c r="I418" i="1"/>
  <c r="I426" i="1"/>
  <c r="I434" i="1"/>
  <c r="I442" i="1"/>
  <c r="I450" i="1"/>
  <c r="I458" i="1"/>
  <c r="I466" i="1"/>
  <c r="I474" i="1"/>
  <c r="I482" i="1"/>
  <c r="I490" i="1"/>
  <c r="I498" i="1"/>
  <c r="I392" i="1"/>
  <c r="I403" i="1"/>
  <c r="I411" i="1"/>
  <c r="I419" i="1"/>
  <c r="I427" i="1"/>
  <c r="I435" i="1"/>
  <c r="I443" i="1"/>
  <c r="I451" i="1"/>
  <c r="I459" i="1"/>
  <c r="I467" i="1"/>
  <c r="I475" i="1"/>
  <c r="I483" i="1"/>
  <c r="I491" i="1"/>
  <c r="I499" i="1"/>
  <c r="I5" i="1"/>
  <c r="I32" i="1"/>
  <c r="I56" i="1"/>
  <c r="I86" i="1"/>
  <c r="I113" i="1"/>
  <c r="I137" i="1"/>
  <c r="I164" i="1"/>
  <c r="I191" i="1"/>
  <c r="I221" i="1"/>
  <c r="I245" i="1"/>
  <c r="I272" i="1"/>
  <c r="I302" i="1"/>
  <c r="I326" i="1"/>
  <c r="I356" i="1"/>
  <c r="I7" i="1"/>
  <c r="I34" i="1"/>
  <c r="I58" i="1"/>
  <c r="I88" i="1"/>
  <c r="I115" i="1"/>
  <c r="I139" i="1"/>
  <c r="I166" i="1"/>
  <c r="I193" i="1"/>
  <c r="I223" i="1"/>
  <c r="I247" i="1"/>
  <c r="I274" i="1"/>
  <c r="I304" i="1"/>
  <c r="I328" i="1"/>
  <c r="I358" i="1"/>
  <c r="I390" i="1"/>
  <c r="I401" i="1"/>
  <c r="I409" i="1"/>
  <c r="I417" i="1"/>
  <c r="I425" i="1"/>
  <c r="I433" i="1"/>
  <c r="I441" i="1"/>
  <c r="I449" i="1"/>
  <c r="I457" i="1"/>
  <c r="I465" i="1"/>
  <c r="I473" i="1"/>
  <c r="I481" i="1"/>
  <c r="I489" i="1"/>
  <c r="I497" i="1"/>
  <c r="I6" i="1"/>
  <c r="I33" i="1"/>
  <c r="I57" i="1"/>
  <c r="I87" i="1"/>
  <c r="I114" i="1"/>
  <c r="I138" i="1"/>
  <c r="I165" i="1"/>
  <c r="I192" i="1"/>
  <c r="I222" i="1"/>
  <c r="I246" i="1"/>
  <c r="I273" i="1"/>
  <c r="I303" i="1"/>
  <c r="I327" i="1"/>
  <c r="I357" i="1"/>
  <c r="I16" i="1"/>
  <c r="I43" i="1"/>
  <c r="I67" i="1"/>
  <c r="I97" i="1"/>
  <c r="I124" i="1"/>
  <c r="I148" i="1"/>
  <c r="I175" i="1"/>
  <c r="I202" i="1"/>
  <c r="I232" i="1"/>
  <c r="I256" i="1"/>
  <c r="I282" i="1"/>
  <c r="I313" i="1"/>
  <c r="I336" i="1"/>
  <c r="I366" i="1"/>
  <c r="I15" i="1"/>
  <c r="I42" i="1"/>
  <c r="I66" i="1"/>
  <c r="I96" i="1"/>
  <c r="I123" i="1"/>
  <c r="I147" i="1"/>
  <c r="I174" i="1"/>
  <c r="I201" i="1"/>
  <c r="I231" i="1"/>
  <c r="I255" i="1"/>
  <c r="I281" i="1"/>
  <c r="I312" i="1"/>
  <c r="I335" i="1"/>
  <c r="I365" i="1"/>
  <c r="I385" i="1"/>
  <c r="I397" i="1"/>
  <c r="I405" i="1"/>
  <c r="I414" i="1"/>
  <c r="I422" i="1"/>
  <c r="I429" i="1"/>
  <c r="I437" i="1"/>
  <c r="I445" i="1"/>
  <c r="I454" i="1"/>
  <c r="I461" i="1"/>
  <c r="I469" i="1"/>
  <c r="I478" i="1"/>
  <c r="I485" i="1"/>
  <c r="I494" i="1"/>
  <c r="I22" i="1"/>
  <c r="I49" i="1"/>
  <c r="I75" i="1"/>
  <c r="I103" i="1"/>
  <c r="I130" i="1"/>
  <c r="I156" i="1"/>
  <c r="I183" i="1"/>
  <c r="I210" i="1"/>
  <c r="I238" i="1"/>
  <c r="I264" i="1"/>
  <c r="I289" i="1"/>
  <c r="I319" i="1"/>
  <c r="I343" i="1"/>
  <c r="I371" i="1"/>
  <c r="I28" i="1"/>
  <c r="I55" i="1"/>
  <c r="I82" i="1"/>
  <c r="I109" i="1"/>
  <c r="I136" i="1"/>
  <c r="I163" i="1"/>
  <c r="I190" i="1"/>
  <c r="I217" i="1"/>
  <c r="I244" i="1"/>
  <c r="I271" i="1"/>
  <c r="I296" i="1"/>
  <c r="I325" i="1"/>
  <c r="I350" i="1"/>
  <c r="I377" i="1"/>
  <c r="I23" i="1"/>
  <c r="I50" i="1"/>
  <c r="I77" i="1"/>
  <c r="I104" i="1"/>
  <c r="I131" i="1"/>
  <c r="I158" i="1"/>
  <c r="I185" i="1"/>
  <c r="I212" i="1"/>
  <c r="I239" i="1"/>
  <c r="I266" i="1"/>
  <c r="I291" i="1"/>
  <c r="I320" i="1"/>
  <c r="I345" i="1"/>
  <c r="I372" i="1"/>
  <c r="I12" i="1"/>
  <c r="I39" i="1"/>
  <c r="I63" i="1"/>
  <c r="I93" i="1"/>
  <c r="I120" i="1"/>
  <c r="I144" i="1"/>
  <c r="I171" i="1"/>
  <c r="I198" i="1"/>
  <c r="I228" i="1"/>
  <c r="I252" i="1"/>
  <c r="I278" i="1"/>
  <c r="I309" i="1"/>
  <c r="I332" i="1"/>
  <c r="I362" i="1"/>
  <c r="I378" i="1"/>
  <c r="I384" i="1"/>
  <c r="I396" i="1"/>
  <c r="I404" i="1"/>
  <c r="I413" i="1"/>
  <c r="I421" i="1"/>
  <c r="I428" i="1"/>
  <c r="I436" i="1"/>
  <c r="I444" i="1"/>
  <c r="I453" i="1"/>
  <c r="I460" i="1"/>
  <c r="I468" i="1"/>
  <c r="I477" i="1"/>
  <c r="I484" i="1"/>
  <c r="I493" i="1"/>
  <c r="I500" i="1"/>
  <c r="I4" i="1"/>
  <c r="I31" i="1"/>
  <c r="I76" i="1"/>
  <c r="I85" i="1"/>
  <c r="I112" i="1"/>
  <c r="I157" i="1"/>
  <c r="I184" i="1"/>
  <c r="I211" i="1"/>
  <c r="I220" i="1"/>
  <c r="I265" i="1"/>
  <c r="I290" i="1"/>
  <c r="I301" i="1"/>
  <c r="I344" i="1"/>
  <c r="I355" i="1"/>
  <c r="I383" i="1"/>
  <c r="I389" i="1"/>
  <c r="I382" i="1"/>
  <c r="I395" i="1"/>
  <c r="I408" i="1"/>
  <c r="I412" i="1"/>
  <c r="I420" i="1"/>
  <c r="I432" i="1"/>
  <c r="I440" i="1"/>
  <c r="I448" i="1"/>
  <c r="I452" i="1"/>
  <c r="I464" i="1"/>
  <c r="I472" i="1"/>
  <c r="I476" i="1"/>
  <c r="I488" i="1"/>
  <c r="I492" i="1"/>
  <c r="I502" i="1"/>
  <c r="I504" i="1"/>
  <c r="I3" i="1"/>
  <c r="I30" i="1"/>
  <c r="I73" i="1"/>
  <c r="I84" i="1"/>
  <c r="I111" i="1"/>
  <c r="I154" i="1"/>
  <c r="I181" i="1"/>
  <c r="I208" i="1"/>
  <c r="I219" i="1"/>
  <c r="I262" i="1"/>
  <c r="I287" i="1"/>
  <c r="I300" i="1"/>
  <c r="I341" i="1"/>
  <c r="I354" i="1"/>
  <c r="I381" i="1"/>
  <c r="I388" i="1"/>
  <c r="I2" i="1"/>
  <c r="C6" i="5" s="1"/>
  <c r="I29" i="1"/>
  <c r="I71" i="1"/>
  <c r="I83" i="1"/>
  <c r="I110" i="1"/>
  <c r="I152" i="1"/>
  <c r="I179" i="1"/>
  <c r="I206" i="1"/>
  <c r="I218" i="1"/>
  <c r="I260" i="1"/>
  <c r="I285" i="1"/>
  <c r="I299" i="1"/>
  <c r="I339" i="1"/>
  <c r="I353" i="1"/>
  <c r="I380" i="1"/>
  <c r="I386" i="1"/>
  <c r="I394" i="1"/>
  <c r="I399" i="1"/>
  <c r="I379" i="1"/>
  <c r="I393" i="1"/>
  <c r="I398" i="1"/>
  <c r="I406" i="1"/>
  <c r="I415" i="1"/>
  <c r="I423" i="1"/>
  <c r="I430" i="1"/>
  <c r="I438" i="1"/>
  <c r="I446" i="1"/>
  <c r="I455" i="1"/>
  <c r="I462" i="1"/>
  <c r="I470" i="1"/>
  <c r="I479" i="1"/>
  <c r="I486" i="1"/>
  <c r="I495" i="1"/>
  <c r="I501" i="1"/>
  <c r="I503" i="1"/>
  <c r="I505" i="1"/>
  <c r="C5" i="5" l="1"/>
  <c r="C10" i="5"/>
  <c r="C9" i="5"/>
  <c r="C8" i="5"/>
  <c r="C7" i="5"/>
  <c r="E2" i="1"/>
  <c r="H2" i="1" s="1"/>
  <c r="N39" i="5"/>
  <c r="M39" i="5"/>
  <c r="N38" i="5"/>
  <c r="M38" i="5"/>
  <c r="N37" i="5"/>
  <c r="M37" i="5"/>
  <c r="F8" i="5" s="1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E10" i="5"/>
  <c r="N9" i="5"/>
  <c r="M9" i="5"/>
  <c r="E9" i="5"/>
  <c r="N8" i="5"/>
  <c r="M8" i="5"/>
  <c r="E8" i="5"/>
  <c r="N7" i="5"/>
  <c r="M7" i="5"/>
  <c r="F5" i="5" s="1"/>
  <c r="E7" i="5"/>
  <c r="N6" i="5"/>
  <c r="M6" i="5"/>
  <c r="F10" i="5" s="1"/>
  <c r="E6" i="5"/>
  <c r="N5" i="5"/>
  <c r="M5" i="5"/>
  <c r="F9" i="5" s="1"/>
  <c r="F4" i="4" s="1"/>
  <c r="E5" i="5"/>
  <c r="E4" i="4"/>
  <c r="D4" i="4"/>
  <c r="G505" i="1"/>
  <c r="F505" i="1"/>
  <c r="E505" i="1"/>
  <c r="H505" i="1" s="1"/>
  <c r="G504" i="1"/>
  <c r="F504" i="1"/>
  <c r="E504" i="1"/>
  <c r="H504" i="1" s="1"/>
  <c r="G503" i="1"/>
  <c r="F503" i="1"/>
  <c r="E503" i="1"/>
  <c r="H503" i="1" s="1"/>
  <c r="G502" i="1"/>
  <c r="F502" i="1"/>
  <c r="E502" i="1"/>
  <c r="H502" i="1" s="1"/>
  <c r="G501" i="1"/>
  <c r="F501" i="1"/>
  <c r="E501" i="1"/>
  <c r="H501" i="1" s="1"/>
  <c r="G500" i="1"/>
  <c r="F500" i="1"/>
  <c r="E500" i="1"/>
  <c r="H500" i="1" s="1"/>
  <c r="G499" i="1"/>
  <c r="F499" i="1"/>
  <c r="E499" i="1"/>
  <c r="H499" i="1" s="1"/>
  <c r="G498" i="1"/>
  <c r="F498" i="1"/>
  <c r="E498" i="1"/>
  <c r="H498" i="1" s="1"/>
  <c r="G497" i="1"/>
  <c r="F497" i="1"/>
  <c r="E497" i="1"/>
  <c r="H497" i="1" s="1"/>
  <c r="G496" i="1"/>
  <c r="F496" i="1"/>
  <c r="E496" i="1"/>
  <c r="H496" i="1" s="1"/>
  <c r="G495" i="1"/>
  <c r="F495" i="1"/>
  <c r="E495" i="1"/>
  <c r="H495" i="1" s="1"/>
  <c r="G494" i="1"/>
  <c r="F494" i="1"/>
  <c r="E494" i="1"/>
  <c r="H494" i="1" s="1"/>
  <c r="G493" i="1"/>
  <c r="F493" i="1"/>
  <c r="E493" i="1"/>
  <c r="H493" i="1" s="1"/>
  <c r="G492" i="1"/>
  <c r="F492" i="1"/>
  <c r="E492" i="1"/>
  <c r="H492" i="1" s="1"/>
  <c r="G491" i="1"/>
  <c r="F491" i="1"/>
  <c r="E491" i="1"/>
  <c r="H491" i="1" s="1"/>
  <c r="G490" i="1"/>
  <c r="F490" i="1"/>
  <c r="E490" i="1"/>
  <c r="H490" i="1" s="1"/>
  <c r="G489" i="1"/>
  <c r="F489" i="1"/>
  <c r="E489" i="1"/>
  <c r="H489" i="1" s="1"/>
  <c r="G488" i="1"/>
  <c r="F488" i="1"/>
  <c r="E488" i="1"/>
  <c r="H488" i="1" s="1"/>
  <c r="G487" i="1"/>
  <c r="F487" i="1"/>
  <c r="E487" i="1"/>
  <c r="H487" i="1" s="1"/>
  <c r="G486" i="1"/>
  <c r="F486" i="1"/>
  <c r="E486" i="1"/>
  <c r="H486" i="1" s="1"/>
  <c r="G485" i="1"/>
  <c r="F485" i="1"/>
  <c r="E485" i="1"/>
  <c r="H485" i="1" s="1"/>
  <c r="G484" i="1"/>
  <c r="F484" i="1"/>
  <c r="E484" i="1"/>
  <c r="H484" i="1" s="1"/>
  <c r="G483" i="1"/>
  <c r="F483" i="1"/>
  <c r="E483" i="1"/>
  <c r="H483" i="1" s="1"/>
  <c r="G482" i="1"/>
  <c r="F482" i="1"/>
  <c r="E482" i="1"/>
  <c r="H482" i="1" s="1"/>
  <c r="G481" i="1"/>
  <c r="F481" i="1"/>
  <c r="E481" i="1"/>
  <c r="H481" i="1" s="1"/>
  <c r="G480" i="1"/>
  <c r="F480" i="1"/>
  <c r="E480" i="1"/>
  <c r="H480" i="1" s="1"/>
  <c r="G479" i="1"/>
  <c r="F479" i="1"/>
  <c r="E479" i="1"/>
  <c r="H479" i="1" s="1"/>
  <c r="G478" i="1"/>
  <c r="F478" i="1"/>
  <c r="E478" i="1"/>
  <c r="H478" i="1" s="1"/>
  <c r="G477" i="1"/>
  <c r="F477" i="1"/>
  <c r="E477" i="1"/>
  <c r="H477" i="1" s="1"/>
  <c r="G476" i="1"/>
  <c r="F476" i="1"/>
  <c r="E476" i="1"/>
  <c r="H476" i="1" s="1"/>
  <c r="G475" i="1"/>
  <c r="F475" i="1"/>
  <c r="E475" i="1"/>
  <c r="H475" i="1" s="1"/>
  <c r="G474" i="1"/>
  <c r="F474" i="1"/>
  <c r="E474" i="1"/>
  <c r="H474" i="1" s="1"/>
  <c r="G473" i="1"/>
  <c r="F473" i="1"/>
  <c r="E473" i="1"/>
  <c r="H473" i="1" s="1"/>
  <c r="G472" i="1"/>
  <c r="F472" i="1"/>
  <c r="E472" i="1"/>
  <c r="H472" i="1" s="1"/>
  <c r="G471" i="1"/>
  <c r="F471" i="1"/>
  <c r="E471" i="1"/>
  <c r="H471" i="1" s="1"/>
  <c r="G470" i="1"/>
  <c r="F470" i="1"/>
  <c r="E470" i="1"/>
  <c r="H470" i="1" s="1"/>
  <c r="G469" i="1"/>
  <c r="F469" i="1"/>
  <c r="E469" i="1"/>
  <c r="H469" i="1" s="1"/>
  <c r="G468" i="1"/>
  <c r="F468" i="1"/>
  <c r="E468" i="1"/>
  <c r="H468" i="1" s="1"/>
  <c r="G467" i="1"/>
  <c r="F467" i="1"/>
  <c r="E467" i="1"/>
  <c r="H467" i="1" s="1"/>
  <c r="G466" i="1"/>
  <c r="F466" i="1"/>
  <c r="E466" i="1"/>
  <c r="H466" i="1" s="1"/>
  <c r="G465" i="1"/>
  <c r="F465" i="1"/>
  <c r="E465" i="1"/>
  <c r="H465" i="1" s="1"/>
  <c r="G464" i="1"/>
  <c r="F464" i="1"/>
  <c r="E464" i="1"/>
  <c r="H464" i="1" s="1"/>
  <c r="G463" i="1"/>
  <c r="F463" i="1"/>
  <c r="E463" i="1"/>
  <c r="H463" i="1" s="1"/>
  <c r="G462" i="1"/>
  <c r="F462" i="1"/>
  <c r="E462" i="1"/>
  <c r="H462" i="1" s="1"/>
  <c r="G461" i="1"/>
  <c r="F461" i="1"/>
  <c r="E461" i="1"/>
  <c r="H461" i="1" s="1"/>
  <c r="G460" i="1"/>
  <c r="F460" i="1"/>
  <c r="E460" i="1"/>
  <c r="H460" i="1" s="1"/>
  <c r="G459" i="1"/>
  <c r="F459" i="1"/>
  <c r="E459" i="1"/>
  <c r="H459" i="1" s="1"/>
  <c r="G458" i="1"/>
  <c r="F458" i="1"/>
  <c r="E458" i="1"/>
  <c r="H458" i="1" s="1"/>
  <c r="G457" i="1"/>
  <c r="F457" i="1"/>
  <c r="E457" i="1"/>
  <c r="H457" i="1" s="1"/>
  <c r="G456" i="1"/>
  <c r="F456" i="1"/>
  <c r="E456" i="1"/>
  <c r="H456" i="1" s="1"/>
  <c r="G455" i="1"/>
  <c r="F455" i="1"/>
  <c r="E455" i="1"/>
  <c r="H455" i="1" s="1"/>
  <c r="G454" i="1"/>
  <c r="F454" i="1"/>
  <c r="E454" i="1"/>
  <c r="H454" i="1" s="1"/>
  <c r="G453" i="1"/>
  <c r="F453" i="1"/>
  <c r="E453" i="1"/>
  <c r="H453" i="1" s="1"/>
  <c r="G452" i="1"/>
  <c r="F452" i="1"/>
  <c r="E452" i="1"/>
  <c r="H452" i="1" s="1"/>
  <c r="G451" i="1"/>
  <c r="F451" i="1"/>
  <c r="E451" i="1"/>
  <c r="H451" i="1" s="1"/>
  <c r="G450" i="1"/>
  <c r="F450" i="1"/>
  <c r="E450" i="1"/>
  <c r="H450" i="1" s="1"/>
  <c r="G449" i="1"/>
  <c r="F449" i="1"/>
  <c r="E449" i="1"/>
  <c r="H449" i="1" s="1"/>
  <c r="G448" i="1"/>
  <c r="F448" i="1"/>
  <c r="E448" i="1"/>
  <c r="H448" i="1" s="1"/>
  <c r="G447" i="1"/>
  <c r="F447" i="1"/>
  <c r="E447" i="1"/>
  <c r="H447" i="1" s="1"/>
  <c r="G446" i="1"/>
  <c r="F446" i="1"/>
  <c r="E446" i="1"/>
  <c r="H446" i="1" s="1"/>
  <c r="G445" i="1"/>
  <c r="F445" i="1"/>
  <c r="E445" i="1"/>
  <c r="H445" i="1" s="1"/>
  <c r="G444" i="1"/>
  <c r="F444" i="1"/>
  <c r="E444" i="1"/>
  <c r="H444" i="1" s="1"/>
  <c r="G443" i="1"/>
  <c r="F443" i="1"/>
  <c r="E443" i="1"/>
  <c r="H443" i="1" s="1"/>
  <c r="G442" i="1"/>
  <c r="F442" i="1"/>
  <c r="E442" i="1"/>
  <c r="H442" i="1" s="1"/>
  <c r="G441" i="1"/>
  <c r="F441" i="1"/>
  <c r="E441" i="1"/>
  <c r="H441" i="1" s="1"/>
  <c r="G440" i="1"/>
  <c r="F440" i="1"/>
  <c r="E440" i="1"/>
  <c r="H440" i="1" s="1"/>
  <c r="G439" i="1"/>
  <c r="F439" i="1"/>
  <c r="E439" i="1"/>
  <c r="H439" i="1" s="1"/>
  <c r="G438" i="1"/>
  <c r="F438" i="1"/>
  <c r="E438" i="1"/>
  <c r="H438" i="1" s="1"/>
  <c r="G437" i="1"/>
  <c r="F437" i="1"/>
  <c r="E437" i="1"/>
  <c r="H437" i="1" s="1"/>
  <c r="G436" i="1"/>
  <c r="F436" i="1"/>
  <c r="E436" i="1"/>
  <c r="H436" i="1" s="1"/>
  <c r="G435" i="1"/>
  <c r="F435" i="1"/>
  <c r="E435" i="1"/>
  <c r="H435" i="1" s="1"/>
  <c r="G434" i="1"/>
  <c r="F434" i="1"/>
  <c r="E434" i="1"/>
  <c r="H434" i="1" s="1"/>
  <c r="G433" i="1"/>
  <c r="F433" i="1"/>
  <c r="E433" i="1"/>
  <c r="H433" i="1" s="1"/>
  <c r="G432" i="1"/>
  <c r="F432" i="1"/>
  <c r="E432" i="1"/>
  <c r="H432" i="1" s="1"/>
  <c r="G431" i="1"/>
  <c r="F431" i="1"/>
  <c r="E431" i="1"/>
  <c r="H431" i="1" s="1"/>
  <c r="G430" i="1"/>
  <c r="F430" i="1"/>
  <c r="E430" i="1"/>
  <c r="H430" i="1" s="1"/>
  <c r="G429" i="1"/>
  <c r="F429" i="1"/>
  <c r="E429" i="1"/>
  <c r="H429" i="1" s="1"/>
  <c r="G428" i="1"/>
  <c r="F428" i="1"/>
  <c r="E428" i="1"/>
  <c r="H428" i="1" s="1"/>
  <c r="G427" i="1"/>
  <c r="F427" i="1"/>
  <c r="E427" i="1"/>
  <c r="H427" i="1" s="1"/>
  <c r="G426" i="1"/>
  <c r="F426" i="1"/>
  <c r="E426" i="1"/>
  <c r="H426" i="1" s="1"/>
  <c r="G425" i="1"/>
  <c r="F425" i="1"/>
  <c r="E425" i="1"/>
  <c r="H425" i="1" s="1"/>
  <c r="G424" i="1"/>
  <c r="F424" i="1"/>
  <c r="E424" i="1"/>
  <c r="H424" i="1" s="1"/>
  <c r="G423" i="1"/>
  <c r="F423" i="1"/>
  <c r="E423" i="1"/>
  <c r="H423" i="1" s="1"/>
  <c r="G422" i="1"/>
  <c r="F422" i="1"/>
  <c r="E422" i="1"/>
  <c r="H422" i="1" s="1"/>
  <c r="G421" i="1"/>
  <c r="F421" i="1"/>
  <c r="E421" i="1"/>
  <c r="H421" i="1" s="1"/>
  <c r="G420" i="1"/>
  <c r="F420" i="1"/>
  <c r="E420" i="1"/>
  <c r="H420" i="1" s="1"/>
  <c r="G419" i="1"/>
  <c r="F419" i="1"/>
  <c r="E419" i="1"/>
  <c r="H419" i="1" s="1"/>
  <c r="G418" i="1"/>
  <c r="F418" i="1"/>
  <c r="E418" i="1"/>
  <c r="H418" i="1" s="1"/>
  <c r="G417" i="1"/>
  <c r="F417" i="1"/>
  <c r="E417" i="1"/>
  <c r="H417" i="1" s="1"/>
  <c r="G416" i="1"/>
  <c r="F416" i="1"/>
  <c r="E416" i="1"/>
  <c r="H416" i="1" s="1"/>
  <c r="G415" i="1"/>
  <c r="F415" i="1"/>
  <c r="E415" i="1"/>
  <c r="H415" i="1" s="1"/>
  <c r="G414" i="1"/>
  <c r="F414" i="1"/>
  <c r="E414" i="1"/>
  <c r="H414" i="1" s="1"/>
  <c r="G413" i="1"/>
  <c r="F413" i="1"/>
  <c r="E413" i="1"/>
  <c r="H413" i="1" s="1"/>
  <c r="G412" i="1"/>
  <c r="F412" i="1"/>
  <c r="E412" i="1"/>
  <c r="H412" i="1" s="1"/>
  <c r="G411" i="1"/>
  <c r="F411" i="1"/>
  <c r="E411" i="1"/>
  <c r="H411" i="1" s="1"/>
  <c r="G410" i="1"/>
  <c r="F410" i="1"/>
  <c r="E410" i="1"/>
  <c r="H410" i="1" s="1"/>
  <c r="G409" i="1"/>
  <c r="F409" i="1"/>
  <c r="E409" i="1"/>
  <c r="H409" i="1" s="1"/>
  <c r="G408" i="1"/>
  <c r="F408" i="1"/>
  <c r="E408" i="1"/>
  <c r="H408" i="1" s="1"/>
  <c r="G407" i="1"/>
  <c r="F407" i="1"/>
  <c r="E407" i="1"/>
  <c r="H407" i="1" s="1"/>
  <c r="G406" i="1"/>
  <c r="F406" i="1"/>
  <c r="E406" i="1"/>
  <c r="H406" i="1" s="1"/>
  <c r="G405" i="1"/>
  <c r="F405" i="1"/>
  <c r="E405" i="1"/>
  <c r="H405" i="1" s="1"/>
  <c r="G404" i="1"/>
  <c r="F404" i="1"/>
  <c r="E404" i="1"/>
  <c r="H404" i="1" s="1"/>
  <c r="G403" i="1"/>
  <c r="F403" i="1"/>
  <c r="E403" i="1"/>
  <c r="H403" i="1" s="1"/>
  <c r="G402" i="1"/>
  <c r="F402" i="1"/>
  <c r="E402" i="1"/>
  <c r="H402" i="1" s="1"/>
  <c r="G401" i="1"/>
  <c r="F401" i="1"/>
  <c r="E401" i="1"/>
  <c r="H401" i="1" s="1"/>
  <c r="G400" i="1"/>
  <c r="F400" i="1"/>
  <c r="E400" i="1"/>
  <c r="H400" i="1" s="1"/>
  <c r="G399" i="1"/>
  <c r="F399" i="1"/>
  <c r="E399" i="1"/>
  <c r="H399" i="1" s="1"/>
  <c r="G398" i="1"/>
  <c r="F398" i="1"/>
  <c r="E398" i="1"/>
  <c r="H398" i="1" s="1"/>
  <c r="G397" i="1"/>
  <c r="F397" i="1"/>
  <c r="E397" i="1"/>
  <c r="H397" i="1" s="1"/>
  <c r="G396" i="1"/>
  <c r="F396" i="1"/>
  <c r="E396" i="1"/>
  <c r="H396" i="1" s="1"/>
  <c r="G395" i="1"/>
  <c r="F395" i="1"/>
  <c r="E395" i="1"/>
  <c r="H395" i="1" s="1"/>
  <c r="G394" i="1"/>
  <c r="F394" i="1"/>
  <c r="E394" i="1"/>
  <c r="H394" i="1" s="1"/>
  <c r="G393" i="1"/>
  <c r="F393" i="1"/>
  <c r="E393" i="1"/>
  <c r="H393" i="1" s="1"/>
  <c r="G392" i="1"/>
  <c r="F392" i="1"/>
  <c r="E392" i="1"/>
  <c r="G391" i="1"/>
  <c r="F391" i="1"/>
  <c r="E391" i="1"/>
  <c r="G390" i="1"/>
  <c r="F390" i="1"/>
  <c r="E390" i="1"/>
  <c r="G389" i="1"/>
  <c r="F389" i="1"/>
  <c r="E389" i="1"/>
  <c r="H389" i="1" s="1"/>
  <c r="G388" i="1"/>
  <c r="F388" i="1"/>
  <c r="E388" i="1"/>
  <c r="H388" i="1" s="1"/>
  <c r="G387" i="1"/>
  <c r="F387" i="1"/>
  <c r="E387" i="1"/>
  <c r="H387" i="1" s="1"/>
  <c r="G386" i="1"/>
  <c r="F386" i="1"/>
  <c r="E386" i="1"/>
  <c r="H386" i="1" s="1"/>
  <c r="G385" i="1"/>
  <c r="F385" i="1"/>
  <c r="E385" i="1"/>
  <c r="H385" i="1" s="1"/>
  <c r="G384" i="1"/>
  <c r="F384" i="1"/>
  <c r="E384" i="1"/>
  <c r="G383" i="1"/>
  <c r="F383" i="1"/>
  <c r="E383" i="1"/>
  <c r="H383" i="1" s="1"/>
  <c r="G382" i="1"/>
  <c r="F382" i="1"/>
  <c r="E382" i="1"/>
  <c r="G381" i="1"/>
  <c r="F381" i="1"/>
  <c r="E381" i="1"/>
  <c r="H381" i="1" s="1"/>
  <c r="G380" i="1"/>
  <c r="F380" i="1"/>
  <c r="E380" i="1"/>
  <c r="H380" i="1" s="1"/>
  <c r="G379" i="1"/>
  <c r="F379" i="1"/>
  <c r="E379" i="1"/>
  <c r="G378" i="1"/>
  <c r="F378" i="1"/>
  <c r="E378" i="1"/>
  <c r="H378" i="1" s="1"/>
  <c r="G377" i="1"/>
  <c r="F377" i="1"/>
  <c r="E377" i="1"/>
  <c r="H377" i="1" s="1"/>
  <c r="G376" i="1"/>
  <c r="F376" i="1"/>
  <c r="E376" i="1"/>
  <c r="H376" i="1" s="1"/>
  <c r="G375" i="1"/>
  <c r="F375" i="1"/>
  <c r="E375" i="1"/>
  <c r="H375" i="1" s="1"/>
  <c r="G374" i="1"/>
  <c r="F374" i="1"/>
  <c r="E374" i="1"/>
  <c r="H374" i="1" s="1"/>
  <c r="G373" i="1"/>
  <c r="F373" i="1"/>
  <c r="E373" i="1"/>
  <c r="H373" i="1" s="1"/>
  <c r="G372" i="1"/>
  <c r="F372" i="1"/>
  <c r="E372" i="1"/>
  <c r="H372" i="1" s="1"/>
  <c r="G371" i="1"/>
  <c r="F371" i="1"/>
  <c r="E371" i="1"/>
  <c r="H371" i="1" s="1"/>
  <c r="G370" i="1"/>
  <c r="F370" i="1"/>
  <c r="E370" i="1"/>
  <c r="H370" i="1" s="1"/>
  <c r="G369" i="1"/>
  <c r="F369" i="1"/>
  <c r="E369" i="1"/>
  <c r="H369" i="1" s="1"/>
  <c r="G368" i="1"/>
  <c r="F368" i="1"/>
  <c r="E368" i="1"/>
  <c r="H368" i="1" s="1"/>
  <c r="G367" i="1"/>
  <c r="F367" i="1"/>
  <c r="E367" i="1"/>
  <c r="H367" i="1" s="1"/>
  <c r="G366" i="1"/>
  <c r="F366" i="1"/>
  <c r="E366" i="1"/>
  <c r="H366" i="1" s="1"/>
  <c r="G365" i="1"/>
  <c r="F365" i="1"/>
  <c r="E365" i="1"/>
  <c r="H365" i="1" s="1"/>
  <c r="G364" i="1"/>
  <c r="F364" i="1"/>
  <c r="E364" i="1"/>
  <c r="H364" i="1" s="1"/>
  <c r="G363" i="1"/>
  <c r="F363" i="1"/>
  <c r="E363" i="1"/>
  <c r="H363" i="1" s="1"/>
  <c r="G362" i="1"/>
  <c r="F362" i="1"/>
  <c r="E362" i="1"/>
  <c r="H362" i="1" s="1"/>
  <c r="G361" i="1"/>
  <c r="F361" i="1"/>
  <c r="E361" i="1"/>
  <c r="H361" i="1" s="1"/>
  <c r="G360" i="1"/>
  <c r="F360" i="1"/>
  <c r="E360" i="1"/>
  <c r="H360" i="1" s="1"/>
  <c r="G359" i="1"/>
  <c r="F359" i="1"/>
  <c r="E359" i="1"/>
  <c r="H359" i="1" s="1"/>
  <c r="G358" i="1"/>
  <c r="F358" i="1"/>
  <c r="E358" i="1"/>
  <c r="H358" i="1" s="1"/>
  <c r="G357" i="1"/>
  <c r="F357" i="1"/>
  <c r="E357" i="1"/>
  <c r="H357" i="1" s="1"/>
  <c r="G356" i="1"/>
  <c r="F356" i="1"/>
  <c r="E356" i="1"/>
  <c r="H356" i="1" s="1"/>
  <c r="G355" i="1"/>
  <c r="F355" i="1"/>
  <c r="E355" i="1"/>
  <c r="H355" i="1" s="1"/>
  <c r="G354" i="1"/>
  <c r="F354" i="1"/>
  <c r="E354" i="1"/>
  <c r="H354" i="1" s="1"/>
  <c r="G353" i="1"/>
  <c r="F353" i="1"/>
  <c r="E353" i="1"/>
  <c r="H353" i="1" s="1"/>
  <c r="G352" i="1"/>
  <c r="F352" i="1"/>
  <c r="E352" i="1"/>
  <c r="H352" i="1" s="1"/>
  <c r="G351" i="1"/>
  <c r="F351" i="1"/>
  <c r="E351" i="1"/>
  <c r="H351" i="1" s="1"/>
  <c r="G350" i="1"/>
  <c r="F350" i="1"/>
  <c r="E350" i="1"/>
  <c r="H350" i="1" s="1"/>
  <c r="G349" i="1"/>
  <c r="F349" i="1"/>
  <c r="E349" i="1"/>
  <c r="H349" i="1" s="1"/>
  <c r="G348" i="1"/>
  <c r="F348" i="1"/>
  <c r="E348" i="1"/>
  <c r="H348" i="1" s="1"/>
  <c r="G347" i="1"/>
  <c r="F347" i="1"/>
  <c r="E347" i="1"/>
  <c r="H347" i="1" s="1"/>
  <c r="G346" i="1"/>
  <c r="F346" i="1"/>
  <c r="E346" i="1"/>
  <c r="H346" i="1" s="1"/>
  <c r="G345" i="1"/>
  <c r="F345" i="1"/>
  <c r="E345" i="1"/>
  <c r="H345" i="1" s="1"/>
  <c r="G344" i="1"/>
  <c r="F344" i="1"/>
  <c r="E344" i="1"/>
  <c r="H344" i="1" s="1"/>
  <c r="G343" i="1"/>
  <c r="F343" i="1"/>
  <c r="E343" i="1"/>
  <c r="H343" i="1" s="1"/>
  <c r="G342" i="1"/>
  <c r="F342" i="1"/>
  <c r="E342" i="1"/>
  <c r="H342" i="1" s="1"/>
  <c r="G341" i="1"/>
  <c r="F341" i="1"/>
  <c r="E341" i="1"/>
  <c r="H341" i="1" s="1"/>
  <c r="G340" i="1"/>
  <c r="F340" i="1"/>
  <c r="E340" i="1"/>
  <c r="H340" i="1" s="1"/>
  <c r="G339" i="1"/>
  <c r="F339" i="1"/>
  <c r="E339" i="1"/>
  <c r="H339" i="1" s="1"/>
  <c r="G338" i="1"/>
  <c r="F338" i="1"/>
  <c r="E338" i="1"/>
  <c r="H338" i="1" s="1"/>
  <c r="G337" i="1"/>
  <c r="F337" i="1"/>
  <c r="E337" i="1"/>
  <c r="H337" i="1" s="1"/>
  <c r="G336" i="1"/>
  <c r="F336" i="1"/>
  <c r="E336" i="1"/>
  <c r="H336" i="1" s="1"/>
  <c r="G335" i="1"/>
  <c r="F335" i="1"/>
  <c r="E335" i="1"/>
  <c r="H335" i="1" s="1"/>
  <c r="G334" i="1"/>
  <c r="F334" i="1"/>
  <c r="E334" i="1"/>
  <c r="H334" i="1" s="1"/>
  <c r="G333" i="1"/>
  <c r="F333" i="1"/>
  <c r="E333" i="1"/>
  <c r="H333" i="1" s="1"/>
  <c r="G332" i="1"/>
  <c r="F332" i="1"/>
  <c r="E332" i="1"/>
  <c r="H332" i="1" s="1"/>
  <c r="G331" i="1"/>
  <c r="F331" i="1"/>
  <c r="E331" i="1"/>
  <c r="H331" i="1" s="1"/>
  <c r="G330" i="1"/>
  <c r="F330" i="1"/>
  <c r="E330" i="1"/>
  <c r="H330" i="1" s="1"/>
  <c r="G329" i="1"/>
  <c r="F329" i="1"/>
  <c r="E329" i="1"/>
  <c r="H329" i="1" s="1"/>
  <c r="G328" i="1"/>
  <c r="F328" i="1"/>
  <c r="E328" i="1"/>
  <c r="H328" i="1" s="1"/>
  <c r="G327" i="1"/>
  <c r="F327" i="1"/>
  <c r="E327" i="1"/>
  <c r="H327" i="1" s="1"/>
  <c r="G326" i="1"/>
  <c r="F326" i="1"/>
  <c r="E326" i="1"/>
  <c r="H326" i="1" s="1"/>
  <c r="G325" i="1"/>
  <c r="F325" i="1"/>
  <c r="E325" i="1"/>
  <c r="H325" i="1" s="1"/>
  <c r="G324" i="1"/>
  <c r="F324" i="1"/>
  <c r="E324" i="1"/>
  <c r="H324" i="1" s="1"/>
  <c r="G323" i="1"/>
  <c r="F323" i="1"/>
  <c r="E323" i="1"/>
  <c r="H323" i="1" s="1"/>
  <c r="G322" i="1"/>
  <c r="F322" i="1"/>
  <c r="E322" i="1"/>
  <c r="H322" i="1" s="1"/>
  <c r="G321" i="1"/>
  <c r="F321" i="1"/>
  <c r="E321" i="1"/>
  <c r="H321" i="1" s="1"/>
  <c r="G320" i="1"/>
  <c r="F320" i="1"/>
  <c r="E320" i="1"/>
  <c r="H320" i="1" s="1"/>
  <c r="G319" i="1"/>
  <c r="F319" i="1"/>
  <c r="E319" i="1"/>
  <c r="H319" i="1" s="1"/>
  <c r="G318" i="1"/>
  <c r="F318" i="1"/>
  <c r="E318" i="1"/>
  <c r="H318" i="1" s="1"/>
  <c r="G317" i="1"/>
  <c r="F317" i="1"/>
  <c r="E317" i="1"/>
  <c r="H317" i="1" s="1"/>
  <c r="G316" i="1"/>
  <c r="F316" i="1"/>
  <c r="E316" i="1"/>
  <c r="H316" i="1" s="1"/>
  <c r="G315" i="1"/>
  <c r="F315" i="1"/>
  <c r="E315" i="1"/>
  <c r="H315" i="1" s="1"/>
  <c r="G314" i="1"/>
  <c r="F314" i="1"/>
  <c r="E314" i="1"/>
  <c r="H314" i="1" s="1"/>
  <c r="G313" i="1"/>
  <c r="F313" i="1"/>
  <c r="E313" i="1"/>
  <c r="H313" i="1" s="1"/>
  <c r="G312" i="1"/>
  <c r="F312" i="1"/>
  <c r="E312" i="1"/>
  <c r="H312" i="1" s="1"/>
  <c r="G311" i="1"/>
  <c r="F311" i="1"/>
  <c r="E311" i="1"/>
  <c r="H311" i="1" s="1"/>
  <c r="G310" i="1"/>
  <c r="F310" i="1"/>
  <c r="E310" i="1"/>
  <c r="H310" i="1" s="1"/>
  <c r="G309" i="1"/>
  <c r="F309" i="1"/>
  <c r="E309" i="1"/>
  <c r="H309" i="1" s="1"/>
  <c r="G308" i="1"/>
  <c r="F308" i="1"/>
  <c r="E308" i="1"/>
  <c r="H308" i="1" s="1"/>
  <c r="G307" i="1"/>
  <c r="F307" i="1"/>
  <c r="E307" i="1"/>
  <c r="H307" i="1" s="1"/>
  <c r="G306" i="1"/>
  <c r="F306" i="1"/>
  <c r="E306" i="1"/>
  <c r="H306" i="1" s="1"/>
  <c r="G305" i="1"/>
  <c r="F305" i="1"/>
  <c r="E305" i="1"/>
  <c r="H305" i="1" s="1"/>
  <c r="G304" i="1"/>
  <c r="F304" i="1"/>
  <c r="E304" i="1"/>
  <c r="H304" i="1" s="1"/>
  <c r="G303" i="1"/>
  <c r="F303" i="1"/>
  <c r="E303" i="1"/>
  <c r="H303" i="1" s="1"/>
  <c r="G302" i="1"/>
  <c r="F302" i="1"/>
  <c r="E302" i="1"/>
  <c r="H302" i="1" s="1"/>
  <c r="G301" i="1"/>
  <c r="F301" i="1"/>
  <c r="E301" i="1"/>
  <c r="H301" i="1" s="1"/>
  <c r="G300" i="1"/>
  <c r="F300" i="1"/>
  <c r="E300" i="1"/>
  <c r="H300" i="1" s="1"/>
  <c r="G299" i="1"/>
  <c r="F299" i="1"/>
  <c r="E299" i="1"/>
  <c r="H299" i="1" s="1"/>
  <c r="G298" i="1"/>
  <c r="F298" i="1"/>
  <c r="E298" i="1"/>
  <c r="H298" i="1" s="1"/>
  <c r="G297" i="1"/>
  <c r="F297" i="1"/>
  <c r="E297" i="1"/>
  <c r="H297" i="1" s="1"/>
  <c r="G296" i="1"/>
  <c r="F296" i="1"/>
  <c r="E296" i="1"/>
  <c r="H296" i="1" s="1"/>
  <c r="G295" i="1"/>
  <c r="F295" i="1"/>
  <c r="E295" i="1"/>
  <c r="H295" i="1" s="1"/>
  <c r="G294" i="1"/>
  <c r="F294" i="1"/>
  <c r="E294" i="1"/>
  <c r="H294" i="1" s="1"/>
  <c r="G293" i="1"/>
  <c r="F293" i="1"/>
  <c r="E293" i="1"/>
  <c r="H293" i="1" s="1"/>
  <c r="G292" i="1"/>
  <c r="F292" i="1"/>
  <c r="E292" i="1"/>
  <c r="H292" i="1" s="1"/>
  <c r="G291" i="1"/>
  <c r="F291" i="1"/>
  <c r="E291" i="1"/>
  <c r="H291" i="1" s="1"/>
  <c r="G290" i="1"/>
  <c r="F290" i="1"/>
  <c r="E290" i="1"/>
  <c r="H290" i="1" s="1"/>
  <c r="G289" i="1"/>
  <c r="F289" i="1"/>
  <c r="E289" i="1"/>
  <c r="H289" i="1" s="1"/>
  <c r="G288" i="1"/>
  <c r="F288" i="1"/>
  <c r="E288" i="1"/>
  <c r="H288" i="1" s="1"/>
  <c r="G287" i="1"/>
  <c r="F287" i="1"/>
  <c r="E287" i="1"/>
  <c r="H287" i="1" s="1"/>
  <c r="G286" i="1"/>
  <c r="F286" i="1"/>
  <c r="E286" i="1"/>
  <c r="H286" i="1" s="1"/>
  <c r="G285" i="1"/>
  <c r="F285" i="1"/>
  <c r="E285" i="1"/>
  <c r="H285" i="1" s="1"/>
  <c r="G284" i="1"/>
  <c r="F284" i="1"/>
  <c r="E284" i="1"/>
  <c r="H284" i="1" s="1"/>
  <c r="G283" i="1"/>
  <c r="F283" i="1"/>
  <c r="E283" i="1"/>
  <c r="H283" i="1" s="1"/>
  <c r="G282" i="1"/>
  <c r="F282" i="1"/>
  <c r="E282" i="1"/>
  <c r="H282" i="1" s="1"/>
  <c r="G281" i="1"/>
  <c r="F281" i="1"/>
  <c r="E281" i="1"/>
  <c r="H281" i="1" s="1"/>
  <c r="G280" i="1"/>
  <c r="F280" i="1"/>
  <c r="E280" i="1"/>
  <c r="H280" i="1" s="1"/>
  <c r="G279" i="1"/>
  <c r="F279" i="1"/>
  <c r="E279" i="1"/>
  <c r="H279" i="1" s="1"/>
  <c r="G278" i="1"/>
  <c r="F278" i="1"/>
  <c r="E278" i="1"/>
  <c r="H278" i="1" s="1"/>
  <c r="G277" i="1"/>
  <c r="F277" i="1"/>
  <c r="E277" i="1"/>
  <c r="H277" i="1" s="1"/>
  <c r="G276" i="1"/>
  <c r="F276" i="1"/>
  <c r="E276" i="1"/>
  <c r="H276" i="1" s="1"/>
  <c r="G275" i="1"/>
  <c r="F275" i="1"/>
  <c r="E275" i="1"/>
  <c r="H275" i="1" s="1"/>
  <c r="G274" i="1"/>
  <c r="F274" i="1"/>
  <c r="E274" i="1"/>
  <c r="H274" i="1" s="1"/>
  <c r="G273" i="1"/>
  <c r="F273" i="1"/>
  <c r="E273" i="1"/>
  <c r="H273" i="1" s="1"/>
  <c r="G272" i="1"/>
  <c r="F272" i="1"/>
  <c r="E272" i="1"/>
  <c r="H272" i="1" s="1"/>
  <c r="G271" i="1"/>
  <c r="F271" i="1"/>
  <c r="E271" i="1"/>
  <c r="H271" i="1" s="1"/>
  <c r="G270" i="1"/>
  <c r="F270" i="1"/>
  <c r="E270" i="1"/>
  <c r="H270" i="1" s="1"/>
  <c r="G269" i="1"/>
  <c r="F269" i="1"/>
  <c r="E269" i="1"/>
  <c r="H269" i="1" s="1"/>
  <c r="G268" i="1"/>
  <c r="F268" i="1"/>
  <c r="E268" i="1"/>
  <c r="H268" i="1" s="1"/>
  <c r="G267" i="1"/>
  <c r="F267" i="1"/>
  <c r="E267" i="1"/>
  <c r="H267" i="1" s="1"/>
  <c r="G266" i="1"/>
  <c r="F266" i="1"/>
  <c r="E266" i="1"/>
  <c r="H266" i="1" s="1"/>
  <c r="G265" i="1"/>
  <c r="F265" i="1"/>
  <c r="E265" i="1"/>
  <c r="H265" i="1" s="1"/>
  <c r="G264" i="1"/>
  <c r="F264" i="1"/>
  <c r="E264" i="1"/>
  <c r="H264" i="1" s="1"/>
  <c r="G263" i="1"/>
  <c r="F263" i="1"/>
  <c r="E263" i="1"/>
  <c r="H263" i="1" s="1"/>
  <c r="G262" i="1"/>
  <c r="F262" i="1"/>
  <c r="E262" i="1"/>
  <c r="H262" i="1" s="1"/>
  <c r="G261" i="1"/>
  <c r="F261" i="1"/>
  <c r="E261" i="1"/>
  <c r="H261" i="1" s="1"/>
  <c r="G260" i="1"/>
  <c r="F260" i="1"/>
  <c r="E260" i="1"/>
  <c r="H260" i="1" s="1"/>
  <c r="G259" i="1"/>
  <c r="F259" i="1"/>
  <c r="E259" i="1"/>
  <c r="H259" i="1" s="1"/>
  <c r="G258" i="1"/>
  <c r="F258" i="1"/>
  <c r="E258" i="1"/>
  <c r="H258" i="1" s="1"/>
  <c r="G257" i="1"/>
  <c r="F257" i="1"/>
  <c r="E257" i="1"/>
  <c r="H257" i="1" s="1"/>
  <c r="G256" i="1"/>
  <c r="F256" i="1"/>
  <c r="E256" i="1"/>
  <c r="H256" i="1" s="1"/>
  <c r="G255" i="1"/>
  <c r="F255" i="1"/>
  <c r="E255" i="1"/>
  <c r="H255" i="1" s="1"/>
  <c r="G254" i="1"/>
  <c r="F254" i="1"/>
  <c r="E254" i="1"/>
  <c r="H254" i="1" s="1"/>
  <c r="G253" i="1"/>
  <c r="F253" i="1"/>
  <c r="E253" i="1"/>
  <c r="H253" i="1" s="1"/>
  <c r="G252" i="1"/>
  <c r="F252" i="1"/>
  <c r="E252" i="1"/>
  <c r="H252" i="1" s="1"/>
  <c r="G251" i="1"/>
  <c r="F251" i="1"/>
  <c r="E251" i="1"/>
  <c r="H251" i="1" s="1"/>
  <c r="G250" i="1"/>
  <c r="F250" i="1"/>
  <c r="E250" i="1"/>
  <c r="H250" i="1" s="1"/>
  <c r="G249" i="1"/>
  <c r="F249" i="1"/>
  <c r="E249" i="1"/>
  <c r="H249" i="1" s="1"/>
  <c r="G248" i="1"/>
  <c r="F248" i="1"/>
  <c r="E248" i="1"/>
  <c r="H248" i="1" s="1"/>
  <c r="G247" i="1"/>
  <c r="F247" i="1"/>
  <c r="E247" i="1"/>
  <c r="H247" i="1" s="1"/>
  <c r="G246" i="1"/>
  <c r="F246" i="1"/>
  <c r="E246" i="1"/>
  <c r="H246" i="1" s="1"/>
  <c r="G245" i="1"/>
  <c r="F245" i="1"/>
  <c r="E245" i="1"/>
  <c r="H245" i="1" s="1"/>
  <c r="G244" i="1"/>
  <c r="F244" i="1"/>
  <c r="E244" i="1"/>
  <c r="H244" i="1" s="1"/>
  <c r="G243" i="1"/>
  <c r="F243" i="1"/>
  <c r="E243" i="1"/>
  <c r="H243" i="1" s="1"/>
  <c r="G242" i="1"/>
  <c r="F242" i="1"/>
  <c r="E242" i="1"/>
  <c r="H242" i="1" s="1"/>
  <c r="G241" i="1"/>
  <c r="F241" i="1"/>
  <c r="E241" i="1"/>
  <c r="H241" i="1" s="1"/>
  <c r="G240" i="1"/>
  <c r="F240" i="1"/>
  <c r="E240" i="1"/>
  <c r="H240" i="1" s="1"/>
  <c r="G239" i="1"/>
  <c r="F239" i="1"/>
  <c r="E239" i="1"/>
  <c r="H239" i="1" s="1"/>
  <c r="G238" i="1"/>
  <c r="F238" i="1"/>
  <c r="E238" i="1"/>
  <c r="H238" i="1" s="1"/>
  <c r="G237" i="1"/>
  <c r="F237" i="1"/>
  <c r="E237" i="1"/>
  <c r="H237" i="1" s="1"/>
  <c r="G236" i="1"/>
  <c r="F236" i="1"/>
  <c r="E236" i="1"/>
  <c r="H236" i="1" s="1"/>
  <c r="G235" i="1"/>
  <c r="F235" i="1"/>
  <c r="E235" i="1"/>
  <c r="H235" i="1" s="1"/>
  <c r="G234" i="1"/>
  <c r="F234" i="1"/>
  <c r="E234" i="1"/>
  <c r="H234" i="1" s="1"/>
  <c r="G233" i="1"/>
  <c r="F233" i="1"/>
  <c r="E233" i="1"/>
  <c r="H233" i="1" s="1"/>
  <c r="G232" i="1"/>
  <c r="F232" i="1"/>
  <c r="E232" i="1"/>
  <c r="H232" i="1" s="1"/>
  <c r="G231" i="1"/>
  <c r="F231" i="1"/>
  <c r="E231" i="1"/>
  <c r="H231" i="1" s="1"/>
  <c r="G230" i="1"/>
  <c r="F230" i="1"/>
  <c r="E230" i="1"/>
  <c r="H230" i="1" s="1"/>
  <c r="G229" i="1"/>
  <c r="F229" i="1"/>
  <c r="E229" i="1"/>
  <c r="H229" i="1" s="1"/>
  <c r="G228" i="1"/>
  <c r="F228" i="1"/>
  <c r="E228" i="1"/>
  <c r="H228" i="1" s="1"/>
  <c r="G227" i="1"/>
  <c r="F227" i="1"/>
  <c r="E227" i="1"/>
  <c r="H227" i="1" s="1"/>
  <c r="G226" i="1"/>
  <c r="F226" i="1"/>
  <c r="E226" i="1"/>
  <c r="H226" i="1" s="1"/>
  <c r="G225" i="1"/>
  <c r="F225" i="1"/>
  <c r="E225" i="1"/>
  <c r="H225" i="1" s="1"/>
  <c r="G224" i="1"/>
  <c r="F224" i="1"/>
  <c r="E224" i="1"/>
  <c r="H224" i="1" s="1"/>
  <c r="G223" i="1"/>
  <c r="F223" i="1"/>
  <c r="E223" i="1"/>
  <c r="H223" i="1" s="1"/>
  <c r="G222" i="1"/>
  <c r="F222" i="1"/>
  <c r="E222" i="1"/>
  <c r="H222" i="1" s="1"/>
  <c r="G221" i="1"/>
  <c r="F221" i="1"/>
  <c r="E221" i="1"/>
  <c r="H221" i="1" s="1"/>
  <c r="G220" i="1"/>
  <c r="F220" i="1"/>
  <c r="E220" i="1"/>
  <c r="H220" i="1" s="1"/>
  <c r="G219" i="1"/>
  <c r="F219" i="1"/>
  <c r="E219" i="1"/>
  <c r="H219" i="1" s="1"/>
  <c r="G218" i="1"/>
  <c r="F218" i="1"/>
  <c r="E218" i="1"/>
  <c r="H218" i="1" s="1"/>
  <c r="G217" i="1"/>
  <c r="F217" i="1"/>
  <c r="E217" i="1"/>
  <c r="H217" i="1" s="1"/>
  <c r="G216" i="1"/>
  <c r="F216" i="1"/>
  <c r="E216" i="1"/>
  <c r="H216" i="1" s="1"/>
  <c r="G215" i="1"/>
  <c r="F215" i="1"/>
  <c r="E215" i="1"/>
  <c r="H215" i="1" s="1"/>
  <c r="G214" i="1"/>
  <c r="F214" i="1"/>
  <c r="E214" i="1"/>
  <c r="H214" i="1" s="1"/>
  <c r="G213" i="1"/>
  <c r="F213" i="1"/>
  <c r="E213" i="1"/>
  <c r="H213" i="1" s="1"/>
  <c r="G212" i="1"/>
  <c r="F212" i="1"/>
  <c r="E212" i="1"/>
  <c r="H212" i="1" s="1"/>
  <c r="G211" i="1"/>
  <c r="F211" i="1"/>
  <c r="E211" i="1"/>
  <c r="H211" i="1" s="1"/>
  <c r="G210" i="1"/>
  <c r="F210" i="1"/>
  <c r="E210" i="1"/>
  <c r="H210" i="1" s="1"/>
  <c r="G209" i="1"/>
  <c r="F209" i="1"/>
  <c r="E209" i="1"/>
  <c r="H209" i="1" s="1"/>
  <c r="G208" i="1"/>
  <c r="F208" i="1"/>
  <c r="E208" i="1"/>
  <c r="H208" i="1" s="1"/>
  <c r="G207" i="1"/>
  <c r="F207" i="1"/>
  <c r="E207" i="1"/>
  <c r="H207" i="1" s="1"/>
  <c r="G206" i="1"/>
  <c r="F206" i="1"/>
  <c r="E206" i="1"/>
  <c r="G205" i="1"/>
  <c r="F205" i="1"/>
  <c r="E205" i="1"/>
  <c r="H205" i="1" s="1"/>
  <c r="G204" i="1"/>
  <c r="F204" i="1"/>
  <c r="E204" i="1"/>
  <c r="H204" i="1" s="1"/>
  <c r="G203" i="1"/>
  <c r="F203" i="1"/>
  <c r="E203" i="1"/>
  <c r="H203" i="1" s="1"/>
  <c r="G202" i="1"/>
  <c r="F202" i="1"/>
  <c r="E202" i="1"/>
  <c r="H202" i="1" s="1"/>
  <c r="G201" i="1"/>
  <c r="F201" i="1"/>
  <c r="E201" i="1"/>
  <c r="H201" i="1" s="1"/>
  <c r="G200" i="1"/>
  <c r="F200" i="1"/>
  <c r="E200" i="1"/>
  <c r="H200" i="1" s="1"/>
  <c r="G199" i="1"/>
  <c r="F199" i="1"/>
  <c r="E199" i="1"/>
  <c r="H199" i="1" s="1"/>
  <c r="G198" i="1"/>
  <c r="F198" i="1"/>
  <c r="E198" i="1"/>
  <c r="H198" i="1" s="1"/>
  <c r="G197" i="1"/>
  <c r="F197" i="1"/>
  <c r="E197" i="1"/>
  <c r="H197" i="1" s="1"/>
  <c r="G196" i="1"/>
  <c r="F196" i="1"/>
  <c r="E196" i="1"/>
  <c r="H196" i="1" s="1"/>
  <c r="G195" i="1"/>
  <c r="F195" i="1"/>
  <c r="E195" i="1"/>
  <c r="H195" i="1" s="1"/>
  <c r="G194" i="1"/>
  <c r="F194" i="1"/>
  <c r="E194" i="1"/>
  <c r="H194" i="1" s="1"/>
  <c r="G193" i="1"/>
  <c r="F193" i="1"/>
  <c r="E193" i="1"/>
  <c r="H193" i="1" s="1"/>
  <c r="G192" i="1"/>
  <c r="F192" i="1"/>
  <c r="E192" i="1"/>
  <c r="H192" i="1" s="1"/>
  <c r="G191" i="1"/>
  <c r="F191" i="1"/>
  <c r="E191" i="1"/>
  <c r="H191" i="1" s="1"/>
  <c r="G190" i="1"/>
  <c r="F190" i="1"/>
  <c r="E190" i="1"/>
  <c r="H190" i="1" s="1"/>
  <c r="G189" i="1"/>
  <c r="F189" i="1"/>
  <c r="E189" i="1"/>
  <c r="H189" i="1" s="1"/>
  <c r="G188" i="1"/>
  <c r="F188" i="1"/>
  <c r="E188" i="1"/>
  <c r="H188" i="1" s="1"/>
  <c r="G187" i="1"/>
  <c r="F187" i="1"/>
  <c r="E187" i="1"/>
  <c r="H187" i="1" s="1"/>
  <c r="G186" i="1"/>
  <c r="F186" i="1"/>
  <c r="E186" i="1"/>
  <c r="H186" i="1" s="1"/>
  <c r="G185" i="1"/>
  <c r="F185" i="1"/>
  <c r="E185" i="1"/>
  <c r="H185" i="1" s="1"/>
  <c r="G184" i="1"/>
  <c r="F184" i="1"/>
  <c r="E184" i="1"/>
  <c r="H184" i="1" s="1"/>
  <c r="G183" i="1"/>
  <c r="F183" i="1"/>
  <c r="E183" i="1"/>
  <c r="H183" i="1" s="1"/>
  <c r="G182" i="1"/>
  <c r="F182" i="1"/>
  <c r="E182" i="1"/>
  <c r="H182" i="1" s="1"/>
  <c r="G181" i="1"/>
  <c r="F181" i="1"/>
  <c r="E181" i="1"/>
  <c r="H181" i="1" s="1"/>
  <c r="G180" i="1"/>
  <c r="F180" i="1"/>
  <c r="E180" i="1"/>
  <c r="H180" i="1" s="1"/>
  <c r="G179" i="1"/>
  <c r="F179" i="1"/>
  <c r="E179" i="1"/>
  <c r="H179" i="1" s="1"/>
  <c r="G178" i="1"/>
  <c r="F178" i="1"/>
  <c r="E178" i="1"/>
  <c r="H178" i="1" s="1"/>
  <c r="G177" i="1"/>
  <c r="F177" i="1"/>
  <c r="E177" i="1"/>
  <c r="H177" i="1" s="1"/>
  <c r="G176" i="1"/>
  <c r="F176" i="1"/>
  <c r="E176" i="1"/>
  <c r="H176" i="1" s="1"/>
  <c r="G175" i="1"/>
  <c r="F175" i="1"/>
  <c r="E175" i="1"/>
  <c r="H175" i="1" s="1"/>
  <c r="G174" i="1"/>
  <c r="F174" i="1"/>
  <c r="E174" i="1"/>
  <c r="H174" i="1" s="1"/>
  <c r="G173" i="1"/>
  <c r="F173" i="1"/>
  <c r="E173" i="1"/>
  <c r="H173" i="1" s="1"/>
  <c r="G172" i="1"/>
  <c r="F172" i="1"/>
  <c r="E172" i="1"/>
  <c r="H172" i="1" s="1"/>
  <c r="G171" i="1"/>
  <c r="F171" i="1"/>
  <c r="E171" i="1"/>
  <c r="H171" i="1" s="1"/>
  <c r="G170" i="1"/>
  <c r="F170" i="1"/>
  <c r="E170" i="1"/>
  <c r="H170" i="1" s="1"/>
  <c r="G169" i="1"/>
  <c r="F169" i="1"/>
  <c r="E169" i="1"/>
  <c r="H169" i="1" s="1"/>
  <c r="G168" i="1"/>
  <c r="F168" i="1"/>
  <c r="E168" i="1"/>
  <c r="H168" i="1" s="1"/>
  <c r="G167" i="1"/>
  <c r="F167" i="1"/>
  <c r="E167" i="1"/>
  <c r="H167" i="1" s="1"/>
  <c r="G166" i="1"/>
  <c r="F166" i="1"/>
  <c r="E166" i="1"/>
  <c r="H166" i="1" s="1"/>
  <c r="G165" i="1"/>
  <c r="F165" i="1"/>
  <c r="E165" i="1"/>
  <c r="H165" i="1" s="1"/>
  <c r="G164" i="1"/>
  <c r="F164" i="1"/>
  <c r="E164" i="1"/>
  <c r="H164" i="1" s="1"/>
  <c r="G163" i="1"/>
  <c r="F163" i="1"/>
  <c r="E163" i="1"/>
  <c r="H163" i="1" s="1"/>
  <c r="G162" i="1"/>
  <c r="F162" i="1"/>
  <c r="E162" i="1"/>
  <c r="H162" i="1" s="1"/>
  <c r="G161" i="1"/>
  <c r="F161" i="1"/>
  <c r="E161" i="1"/>
  <c r="H161" i="1" s="1"/>
  <c r="G160" i="1"/>
  <c r="F160" i="1"/>
  <c r="E160" i="1"/>
  <c r="H160" i="1" s="1"/>
  <c r="G159" i="1"/>
  <c r="F159" i="1"/>
  <c r="E159" i="1"/>
  <c r="H159" i="1" s="1"/>
  <c r="G158" i="1"/>
  <c r="F158" i="1"/>
  <c r="E158" i="1"/>
  <c r="H158" i="1" s="1"/>
  <c r="G157" i="1"/>
  <c r="F157" i="1"/>
  <c r="E157" i="1"/>
  <c r="H157" i="1" s="1"/>
  <c r="G156" i="1"/>
  <c r="F156" i="1"/>
  <c r="E156" i="1"/>
  <c r="H156" i="1" s="1"/>
  <c r="G155" i="1"/>
  <c r="F155" i="1"/>
  <c r="E155" i="1"/>
  <c r="H155" i="1" s="1"/>
  <c r="G154" i="1"/>
  <c r="F154" i="1"/>
  <c r="E154" i="1"/>
  <c r="H154" i="1" s="1"/>
  <c r="G153" i="1"/>
  <c r="F153" i="1"/>
  <c r="E153" i="1"/>
  <c r="H153" i="1" s="1"/>
  <c r="G152" i="1"/>
  <c r="F152" i="1"/>
  <c r="E152" i="1"/>
  <c r="H152" i="1" s="1"/>
  <c r="G151" i="1"/>
  <c r="F151" i="1"/>
  <c r="E151" i="1"/>
  <c r="H151" i="1" s="1"/>
  <c r="G150" i="1"/>
  <c r="F150" i="1"/>
  <c r="E150" i="1"/>
  <c r="H150" i="1" s="1"/>
  <c r="G149" i="1"/>
  <c r="F149" i="1"/>
  <c r="E149" i="1"/>
  <c r="H149" i="1" s="1"/>
  <c r="G148" i="1"/>
  <c r="F148" i="1"/>
  <c r="E148" i="1"/>
  <c r="H148" i="1" s="1"/>
  <c r="G147" i="1"/>
  <c r="F147" i="1"/>
  <c r="E147" i="1"/>
  <c r="H147" i="1" s="1"/>
  <c r="G146" i="1"/>
  <c r="F146" i="1"/>
  <c r="E146" i="1"/>
  <c r="H146" i="1" s="1"/>
  <c r="G145" i="1"/>
  <c r="F145" i="1"/>
  <c r="E145" i="1"/>
  <c r="H145" i="1" s="1"/>
  <c r="G144" i="1"/>
  <c r="F144" i="1"/>
  <c r="E144" i="1"/>
  <c r="H144" i="1" s="1"/>
  <c r="G143" i="1"/>
  <c r="F143" i="1"/>
  <c r="E143" i="1"/>
  <c r="H143" i="1" s="1"/>
  <c r="G142" i="1"/>
  <c r="F142" i="1"/>
  <c r="E142" i="1"/>
  <c r="H142" i="1" s="1"/>
  <c r="G141" i="1"/>
  <c r="F141" i="1"/>
  <c r="E141" i="1"/>
  <c r="H141" i="1" s="1"/>
  <c r="G140" i="1"/>
  <c r="F140" i="1"/>
  <c r="E140" i="1"/>
  <c r="H140" i="1" s="1"/>
  <c r="G139" i="1"/>
  <c r="F139" i="1"/>
  <c r="E139" i="1"/>
  <c r="H139" i="1" s="1"/>
  <c r="G138" i="1"/>
  <c r="F138" i="1"/>
  <c r="E138" i="1"/>
  <c r="H138" i="1" s="1"/>
  <c r="G137" i="1"/>
  <c r="F137" i="1"/>
  <c r="E137" i="1"/>
  <c r="H137" i="1" s="1"/>
  <c r="G136" i="1"/>
  <c r="F136" i="1"/>
  <c r="E136" i="1"/>
  <c r="H136" i="1" s="1"/>
  <c r="G135" i="1"/>
  <c r="F135" i="1"/>
  <c r="E135" i="1"/>
  <c r="H135" i="1" s="1"/>
  <c r="G134" i="1"/>
  <c r="F134" i="1"/>
  <c r="E134" i="1"/>
  <c r="H134" i="1" s="1"/>
  <c r="G133" i="1"/>
  <c r="F133" i="1"/>
  <c r="E133" i="1"/>
  <c r="H133" i="1" s="1"/>
  <c r="G132" i="1"/>
  <c r="F132" i="1"/>
  <c r="E132" i="1"/>
  <c r="H132" i="1" s="1"/>
  <c r="G131" i="1"/>
  <c r="F131" i="1"/>
  <c r="E131" i="1"/>
  <c r="H131" i="1" s="1"/>
  <c r="G130" i="1"/>
  <c r="F130" i="1"/>
  <c r="E130" i="1"/>
  <c r="H130" i="1" s="1"/>
  <c r="G129" i="1"/>
  <c r="F129" i="1"/>
  <c r="E129" i="1"/>
  <c r="H129" i="1" s="1"/>
  <c r="G128" i="1"/>
  <c r="F128" i="1"/>
  <c r="E128" i="1"/>
  <c r="H128" i="1" s="1"/>
  <c r="G127" i="1"/>
  <c r="F127" i="1"/>
  <c r="E127" i="1"/>
  <c r="H127" i="1" s="1"/>
  <c r="G126" i="1"/>
  <c r="F126" i="1"/>
  <c r="E126" i="1"/>
  <c r="H126" i="1" s="1"/>
  <c r="G125" i="1"/>
  <c r="F125" i="1"/>
  <c r="E125" i="1"/>
  <c r="H125" i="1" s="1"/>
  <c r="G124" i="1"/>
  <c r="F124" i="1"/>
  <c r="E124" i="1"/>
  <c r="H124" i="1" s="1"/>
  <c r="G123" i="1"/>
  <c r="F123" i="1"/>
  <c r="E123" i="1"/>
  <c r="H123" i="1" s="1"/>
  <c r="G122" i="1"/>
  <c r="F122" i="1"/>
  <c r="E122" i="1"/>
  <c r="H122" i="1" s="1"/>
  <c r="G121" i="1"/>
  <c r="F121" i="1"/>
  <c r="E121" i="1"/>
  <c r="H121" i="1" s="1"/>
  <c r="G120" i="1"/>
  <c r="F120" i="1"/>
  <c r="E120" i="1"/>
  <c r="H120" i="1" s="1"/>
  <c r="G119" i="1"/>
  <c r="F119" i="1"/>
  <c r="E119" i="1"/>
  <c r="H119" i="1" s="1"/>
  <c r="G118" i="1"/>
  <c r="F118" i="1"/>
  <c r="E118" i="1"/>
  <c r="H118" i="1" s="1"/>
  <c r="G117" i="1"/>
  <c r="F117" i="1"/>
  <c r="E117" i="1"/>
  <c r="H117" i="1" s="1"/>
  <c r="G116" i="1"/>
  <c r="F116" i="1"/>
  <c r="E116" i="1"/>
  <c r="H116" i="1" s="1"/>
  <c r="G115" i="1"/>
  <c r="F115" i="1"/>
  <c r="E115" i="1"/>
  <c r="H115" i="1" s="1"/>
  <c r="G114" i="1"/>
  <c r="F114" i="1"/>
  <c r="E114" i="1"/>
  <c r="H114" i="1" s="1"/>
  <c r="G113" i="1"/>
  <c r="F113" i="1"/>
  <c r="E113" i="1"/>
  <c r="H113" i="1" s="1"/>
  <c r="G112" i="1"/>
  <c r="F112" i="1"/>
  <c r="E112" i="1"/>
  <c r="H112" i="1" s="1"/>
  <c r="G111" i="1"/>
  <c r="F111" i="1"/>
  <c r="E111" i="1"/>
  <c r="H111" i="1" s="1"/>
  <c r="G110" i="1"/>
  <c r="F110" i="1"/>
  <c r="E110" i="1"/>
  <c r="H110" i="1" s="1"/>
  <c r="G109" i="1"/>
  <c r="F109" i="1"/>
  <c r="E109" i="1"/>
  <c r="H109" i="1" s="1"/>
  <c r="G108" i="1"/>
  <c r="F108" i="1"/>
  <c r="E108" i="1"/>
  <c r="H108" i="1" s="1"/>
  <c r="G107" i="1"/>
  <c r="F107" i="1"/>
  <c r="E107" i="1"/>
  <c r="H107" i="1" s="1"/>
  <c r="G106" i="1"/>
  <c r="F106" i="1"/>
  <c r="E106" i="1"/>
  <c r="H106" i="1" s="1"/>
  <c r="G105" i="1"/>
  <c r="F105" i="1"/>
  <c r="E105" i="1"/>
  <c r="H105" i="1" s="1"/>
  <c r="G104" i="1"/>
  <c r="F104" i="1"/>
  <c r="E104" i="1"/>
  <c r="H104" i="1" s="1"/>
  <c r="G103" i="1"/>
  <c r="F103" i="1"/>
  <c r="E103" i="1"/>
  <c r="H103" i="1" s="1"/>
  <c r="G102" i="1"/>
  <c r="F102" i="1"/>
  <c r="E102" i="1"/>
  <c r="H102" i="1" s="1"/>
  <c r="G101" i="1"/>
  <c r="F101" i="1"/>
  <c r="E101" i="1"/>
  <c r="H101" i="1" s="1"/>
  <c r="G100" i="1"/>
  <c r="F100" i="1"/>
  <c r="E100" i="1"/>
  <c r="H100" i="1" s="1"/>
  <c r="G99" i="1"/>
  <c r="F99" i="1"/>
  <c r="E99" i="1"/>
  <c r="H99" i="1" s="1"/>
  <c r="G98" i="1"/>
  <c r="F98" i="1"/>
  <c r="E98" i="1"/>
  <c r="H98" i="1" s="1"/>
  <c r="G97" i="1"/>
  <c r="F97" i="1"/>
  <c r="E97" i="1"/>
  <c r="H97" i="1" s="1"/>
  <c r="G96" i="1"/>
  <c r="F96" i="1"/>
  <c r="E96" i="1"/>
  <c r="H96" i="1" s="1"/>
  <c r="G95" i="1"/>
  <c r="F95" i="1"/>
  <c r="E95" i="1"/>
  <c r="H95" i="1" s="1"/>
  <c r="G94" i="1"/>
  <c r="F94" i="1"/>
  <c r="E94" i="1"/>
  <c r="H94" i="1" s="1"/>
  <c r="G93" i="1"/>
  <c r="F93" i="1"/>
  <c r="E93" i="1"/>
  <c r="H93" i="1" s="1"/>
  <c r="G92" i="1"/>
  <c r="F92" i="1"/>
  <c r="E92" i="1"/>
  <c r="H92" i="1" s="1"/>
  <c r="G91" i="1"/>
  <c r="F91" i="1"/>
  <c r="E91" i="1"/>
  <c r="H91" i="1" s="1"/>
  <c r="G90" i="1"/>
  <c r="F90" i="1"/>
  <c r="E90" i="1"/>
  <c r="H90" i="1" s="1"/>
  <c r="G89" i="1"/>
  <c r="F89" i="1"/>
  <c r="E89" i="1"/>
  <c r="H89" i="1" s="1"/>
  <c r="G88" i="1"/>
  <c r="F88" i="1"/>
  <c r="E88" i="1"/>
  <c r="H88" i="1" s="1"/>
  <c r="G87" i="1"/>
  <c r="F87" i="1"/>
  <c r="E87" i="1"/>
  <c r="H87" i="1" s="1"/>
  <c r="G86" i="1"/>
  <c r="F86" i="1"/>
  <c r="E86" i="1"/>
  <c r="H86" i="1" s="1"/>
  <c r="G85" i="1"/>
  <c r="F85" i="1"/>
  <c r="E85" i="1"/>
  <c r="H85" i="1" s="1"/>
  <c r="G84" i="1"/>
  <c r="F84" i="1"/>
  <c r="E84" i="1"/>
  <c r="H84" i="1" s="1"/>
  <c r="G83" i="1"/>
  <c r="F83" i="1"/>
  <c r="E83" i="1"/>
  <c r="H83" i="1" s="1"/>
  <c r="G82" i="1"/>
  <c r="F82" i="1"/>
  <c r="E82" i="1"/>
  <c r="H82" i="1" s="1"/>
  <c r="G81" i="1"/>
  <c r="F81" i="1"/>
  <c r="E81" i="1"/>
  <c r="H81" i="1" s="1"/>
  <c r="G80" i="1"/>
  <c r="F80" i="1"/>
  <c r="E80" i="1"/>
  <c r="H80" i="1" s="1"/>
  <c r="G79" i="1"/>
  <c r="F79" i="1"/>
  <c r="E79" i="1"/>
  <c r="H79" i="1" s="1"/>
  <c r="G78" i="1"/>
  <c r="F78" i="1"/>
  <c r="E78" i="1"/>
  <c r="H78" i="1" s="1"/>
  <c r="G77" i="1"/>
  <c r="F77" i="1"/>
  <c r="E77" i="1"/>
  <c r="H77" i="1" s="1"/>
  <c r="G76" i="1"/>
  <c r="F76" i="1"/>
  <c r="E76" i="1"/>
  <c r="H76" i="1" s="1"/>
  <c r="G75" i="1"/>
  <c r="F75" i="1"/>
  <c r="E75" i="1"/>
  <c r="H75" i="1" s="1"/>
  <c r="G74" i="1"/>
  <c r="F74" i="1"/>
  <c r="E74" i="1"/>
  <c r="H74" i="1" s="1"/>
  <c r="G73" i="1"/>
  <c r="F73" i="1"/>
  <c r="E73" i="1"/>
  <c r="H73" i="1" s="1"/>
  <c r="G72" i="1"/>
  <c r="F72" i="1"/>
  <c r="E72" i="1"/>
  <c r="H72" i="1" s="1"/>
  <c r="G71" i="1"/>
  <c r="F71" i="1"/>
  <c r="E71" i="1"/>
  <c r="H71" i="1" s="1"/>
  <c r="G70" i="1"/>
  <c r="F70" i="1"/>
  <c r="E70" i="1"/>
  <c r="H70" i="1" s="1"/>
  <c r="G69" i="1"/>
  <c r="F69" i="1"/>
  <c r="E69" i="1"/>
  <c r="H69" i="1" s="1"/>
  <c r="G68" i="1"/>
  <c r="F68" i="1"/>
  <c r="E68" i="1"/>
  <c r="H68" i="1" s="1"/>
  <c r="G67" i="1"/>
  <c r="F67" i="1"/>
  <c r="E67" i="1"/>
  <c r="H67" i="1" s="1"/>
  <c r="G66" i="1"/>
  <c r="F66" i="1"/>
  <c r="E66" i="1"/>
  <c r="H66" i="1" s="1"/>
  <c r="G65" i="1"/>
  <c r="F65" i="1"/>
  <c r="E65" i="1"/>
  <c r="H65" i="1" s="1"/>
  <c r="G64" i="1"/>
  <c r="F64" i="1"/>
  <c r="E64" i="1"/>
  <c r="H64" i="1" s="1"/>
  <c r="G63" i="1"/>
  <c r="F63" i="1"/>
  <c r="E63" i="1"/>
  <c r="H63" i="1" s="1"/>
  <c r="G62" i="1"/>
  <c r="F62" i="1"/>
  <c r="E62" i="1"/>
  <c r="H62" i="1" s="1"/>
  <c r="G61" i="1"/>
  <c r="F61" i="1"/>
  <c r="E61" i="1"/>
  <c r="H61" i="1" s="1"/>
  <c r="G60" i="1"/>
  <c r="F60" i="1"/>
  <c r="E60" i="1"/>
  <c r="H60" i="1" s="1"/>
  <c r="G59" i="1"/>
  <c r="F59" i="1"/>
  <c r="E59" i="1"/>
  <c r="H59" i="1" s="1"/>
  <c r="G58" i="1"/>
  <c r="F58" i="1"/>
  <c r="E58" i="1"/>
  <c r="H58" i="1" s="1"/>
  <c r="G57" i="1"/>
  <c r="F57" i="1"/>
  <c r="E57" i="1"/>
  <c r="H57" i="1" s="1"/>
  <c r="G56" i="1"/>
  <c r="F56" i="1"/>
  <c r="E56" i="1"/>
  <c r="H56" i="1" s="1"/>
  <c r="G55" i="1"/>
  <c r="F55" i="1"/>
  <c r="E55" i="1"/>
  <c r="H55" i="1" s="1"/>
  <c r="G54" i="1"/>
  <c r="F54" i="1"/>
  <c r="E54" i="1"/>
  <c r="H54" i="1" s="1"/>
  <c r="G53" i="1"/>
  <c r="F53" i="1"/>
  <c r="E53" i="1"/>
  <c r="H53" i="1" s="1"/>
  <c r="G52" i="1"/>
  <c r="F52" i="1"/>
  <c r="E52" i="1"/>
  <c r="H52" i="1" s="1"/>
  <c r="G51" i="1"/>
  <c r="F51" i="1"/>
  <c r="E51" i="1"/>
  <c r="H51" i="1" s="1"/>
  <c r="G50" i="1"/>
  <c r="F50" i="1"/>
  <c r="E50" i="1"/>
  <c r="H50" i="1" s="1"/>
  <c r="G49" i="1"/>
  <c r="F49" i="1"/>
  <c r="E49" i="1"/>
  <c r="H49" i="1" s="1"/>
  <c r="G48" i="1"/>
  <c r="F48" i="1"/>
  <c r="E48" i="1"/>
  <c r="H48" i="1" s="1"/>
  <c r="G47" i="1"/>
  <c r="F47" i="1"/>
  <c r="E47" i="1"/>
  <c r="H47" i="1" s="1"/>
  <c r="G46" i="1"/>
  <c r="F46" i="1"/>
  <c r="E46" i="1"/>
  <c r="H46" i="1" s="1"/>
  <c r="G45" i="1"/>
  <c r="F45" i="1"/>
  <c r="E45" i="1"/>
  <c r="H45" i="1" s="1"/>
  <c r="G44" i="1"/>
  <c r="F44" i="1"/>
  <c r="E44" i="1"/>
  <c r="H44" i="1" s="1"/>
  <c r="G43" i="1"/>
  <c r="F43" i="1"/>
  <c r="E43" i="1"/>
  <c r="H43" i="1" s="1"/>
  <c r="G42" i="1"/>
  <c r="F42" i="1"/>
  <c r="E42" i="1"/>
  <c r="H42" i="1" s="1"/>
  <c r="G41" i="1"/>
  <c r="F41" i="1"/>
  <c r="E41" i="1"/>
  <c r="H41" i="1" s="1"/>
  <c r="G40" i="1"/>
  <c r="F40" i="1"/>
  <c r="E40" i="1"/>
  <c r="H40" i="1" s="1"/>
  <c r="G39" i="1"/>
  <c r="F39" i="1"/>
  <c r="E39" i="1"/>
  <c r="H39" i="1" s="1"/>
  <c r="G38" i="1"/>
  <c r="F38" i="1"/>
  <c r="E38" i="1"/>
  <c r="H38" i="1" s="1"/>
  <c r="G37" i="1"/>
  <c r="F37" i="1"/>
  <c r="E37" i="1"/>
  <c r="H37" i="1" s="1"/>
  <c r="G36" i="1"/>
  <c r="F36" i="1"/>
  <c r="E36" i="1"/>
  <c r="H36" i="1" s="1"/>
  <c r="G35" i="1"/>
  <c r="F35" i="1"/>
  <c r="E35" i="1"/>
  <c r="H35" i="1" s="1"/>
  <c r="G34" i="1"/>
  <c r="F34" i="1"/>
  <c r="E34" i="1"/>
  <c r="H34" i="1" s="1"/>
  <c r="G33" i="1"/>
  <c r="F33" i="1"/>
  <c r="E33" i="1"/>
  <c r="H33" i="1" s="1"/>
  <c r="G32" i="1"/>
  <c r="F32" i="1"/>
  <c r="E32" i="1"/>
  <c r="H32" i="1" s="1"/>
  <c r="G31" i="1"/>
  <c r="F31" i="1"/>
  <c r="E31" i="1"/>
  <c r="H31" i="1" s="1"/>
  <c r="G30" i="1"/>
  <c r="F30" i="1"/>
  <c r="E30" i="1"/>
  <c r="H30" i="1" s="1"/>
  <c r="G29" i="1"/>
  <c r="F29" i="1"/>
  <c r="E29" i="1"/>
  <c r="H29" i="1" s="1"/>
  <c r="G28" i="1"/>
  <c r="F28" i="1"/>
  <c r="E28" i="1"/>
  <c r="G27" i="1"/>
  <c r="F27" i="1"/>
  <c r="E27" i="1"/>
  <c r="G26" i="1"/>
  <c r="F26" i="1"/>
  <c r="E26" i="1"/>
  <c r="H26" i="1" s="1"/>
  <c r="G25" i="1"/>
  <c r="F25" i="1"/>
  <c r="E25" i="1"/>
  <c r="G24" i="1"/>
  <c r="F24" i="1"/>
  <c r="E24" i="1"/>
  <c r="H24" i="1" s="1"/>
  <c r="G23" i="1"/>
  <c r="F23" i="1"/>
  <c r="E23" i="1"/>
  <c r="G22" i="1"/>
  <c r="F22" i="1"/>
  <c r="E22" i="1"/>
  <c r="H22" i="1" s="1"/>
  <c r="G21" i="1"/>
  <c r="F21" i="1"/>
  <c r="E21" i="1"/>
  <c r="G20" i="1"/>
  <c r="F20" i="1"/>
  <c r="E20" i="1"/>
  <c r="G19" i="1"/>
  <c r="F19" i="1"/>
  <c r="E19" i="1"/>
  <c r="H19" i="1" s="1"/>
  <c r="G18" i="1"/>
  <c r="F18" i="1"/>
  <c r="E18" i="1"/>
  <c r="G17" i="1"/>
  <c r="F17" i="1"/>
  <c r="E17" i="1"/>
  <c r="H17" i="1" s="1"/>
  <c r="G16" i="1"/>
  <c r="F16" i="1"/>
  <c r="E16" i="1"/>
  <c r="G15" i="1"/>
  <c r="F15" i="1"/>
  <c r="E15" i="1"/>
  <c r="H15" i="1" s="1"/>
  <c r="G14" i="1"/>
  <c r="F14" i="1"/>
  <c r="E14" i="1"/>
  <c r="H14" i="1" s="1"/>
  <c r="G13" i="1"/>
  <c r="F13" i="1"/>
  <c r="E13" i="1"/>
  <c r="H13" i="1" s="1"/>
  <c r="G12" i="1"/>
  <c r="F12" i="1"/>
  <c r="E12" i="1"/>
  <c r="G11" i="1"/>
  <c r="F11" i="1"/>
  <c r="E11" i="1"/>
  <c r="G10" i="1"/>
  <c r="F10" i="1"/>
  <c r="E10" i="1"/>
  <c r="H10" i="1" s="1"/>
  <c r="G9" i="1"/>
  <c r="F9" i="1"/>
  <c r="E9" i="1"/>
  <c r="G8" i="1"/>
  <c r="F8" i="1"/>
  <c r="E8" i="1"/>
  <c r="H8" i="1" s="1"/>
  <c r="G7" i="1"/>
  <c r="F7" i="1"/>
  <c r="E7" i="1"/>
  <c r="G6" i="1"/>
  <c r="F6" i="1"/>
  <c r="E6" i="1"/>
  <c r="G5" i="1"/>
  <c r="F5" i="1"/>
  <c r="E5" i="1"/>
  <c r="H5" i="1" s="1"/>
  <c r="G4" i="1"/>
  <c r="F4" i="1"/>
  <c r="E4" i="1"/>
  <c r="H4" i="1" s="1"/>
  <c r="G3" i="1"/>
  <c r="F3" i="1"/>
  <c r="E3" i="1"/>
  <c r="G2" i="1"/>
  <c r="F2" i="1"/>
  <c r="C25" i="4" l="1"/>
  <c r="C23" i="4"/>
  <c r="C22" i="4"/>
  <c r="I17" i="4"/>
  <c r="O38" i="5"/>
  <c r="P38" i="5" s="1"/>
  <c r="F25" i="4"/>
  <c r="I10" i="4"/>
  <c r="I14" i="4"/>
  <c r="O36" i="5"/>
  <c r="P36" i="5" s="1"/>
  <c r="H17" i="4"/>
  <c r="G8" i="5"/>
  <c r="I8" i="5" s="1"/>
  <c r="H24" i="4"/>
  <c r="O32" i="5"/>
  <c r="P32" i="5" s="1"/>
  <c r="H23" i="4"/>
  <c r="I13" i="4"/>
  <c r="O27" i="5"/>
  <c r="P27" i="5" s="1"/>
  <c r="I12" i="4"/>
  <c r="H382" i="1"/>
  <c r="H21" i="4"/>
  <c r="H206" i="1"/>
  <c r="O12" i="5"/>
  <c r="P12" i="5" s="1"/>
  <c r="O25" i="5"/>
  <c r="P25" i="5" s="1"/>
  <c r="H390" i="1"/>
  <c r="I23" i="4"/>
  <c r="O37" i="5"/>
  <c r="P37" i="5" s="1"/>
  <c r="H12" i="4"/>
  <c r="I9" i="4"/>
  <c r="O21" i="5"/>
  <c r="P21" i="5" s="1"/>
  <c r="O34" i="5"/>
  <c r="P34" i="5" s="1"/>
  <c r="C8" i="4"/>
  <c r="O22" i="5"/>
  <c r="P22" i="5" s="1"/>
  <c r="I16" i="4"/>
  <c r="O29" i="5"/>
  <c r="P29" i="5" s="1"/>
  <c r="I21" i="4"/>
  <c r="O9" i="5"/>
  <c r="P9" i="5" s="1"/>
  <c r="O33" i="5"/>
  <c r="P33" i="5" s="1"/>
  <c r="O14" i="5"/>
  <c r="P14" i="5" s="1"/>
  <c r="O10" i="5"/>
  <c r="P10" i="5" s="1"/>
  <c r="O35" i="5"/>
  <c r="P35" i="5" s="1"/>
  <c r="C12" i="4"/>
  <c r="O39" i="5"/>
  <c r="P39" i="5" s="1"/>
  <c r="H10" i="5" s="1"/>
  <c r="O5" i="5"/>
  <c r="P5" i="5" s="1"/>
  <c r="O26" i="5"/>
  <c r="P26" i="5" s="1"/>
  <c r="O31" i="5"/>
  <c r="P31" i="5" s="1"/>
  <c r="I20" i="4"/>
  <c r="C14" i="4"/>
  <c r="G9" i="5"/>
  <c r="I9" i="5" s="1"/>
  <c r="C10" i="4"/>
  <c r="I25" i="4"/>
  <c r="H23" i="1"/>
  <c r="I24" i="4"/>
  <c r="H9" i="4"/>
  <c r="I18" i="4"/>
  <c r="H27" i="1"/>
  <c r="I22" i="4"/>
  <c r="C11" i="4"/>
  <c r="O24" i="5"/>
  <c r="P24" i="5" s="1"/>
  <c r="O30" i="5"/>
  <c r="P30" i="5" s="1"/>
  <c r="O11" i="5"/>
  <c r="P11" i="5" s="1"/>
  <c r="O17" i="5"/>
  <c r="P17" i="5" s="1"/>
  <c r="O13" i="5"/>
  <c r="P13" i="5" s="1"/>
  <c r="O19" i="5"/>
  <c r="P19" i="5" s="1"/>
  <c r="H379" i="1"/>
  <c r="C18" i="4"/>
  <c r="H11" i="1"/>
  <c r="O20" i="5"/>
  <c r="P20" i="5" s="1"/>
  <c r="H6" i="1"/>
  <c r="H28" i="1"/>
  <c r="F13" i="4"/>
  <c r="F17" i="4"/>
  <c r="F12" i="4"/>
  <c r="F22" i="4"/>
  <c r="F21" i="4"/>
  <c r="F15" i="4"/>
  <c r="F14" i="4"/>
  <c r="H15" i="4"/>
  <c r="F23" i="4"/>
  <c r="F6" i="5"/>
  <c r="H25" i="1"/>
  <c r="H384" i="1"/>
  <c r="H7" i="1"/>
  <c r="H391" i="1"/>
  <c r="H20" i="1"/>
  <c r="I15" i="4"/>
  <c r="C19" i="4"/>
  <c r="G6" i="5"/>
  <c r="I6" i="5" s="1"/>
  <c r="H12" i="1"/>
  <c r="F8" i="4"/>
  <c r="H11" i="4"/>
  <c r="O16" i="5"/>
  <c r="P16" i="5" s="1"/>
  <c r="H8" i="4"/>
  <c r="C24" i="4"/>
  <c r="H13" i="4"/>
  <c r="H14" i="4"/>
  <c r="I11" i="4"/>
  <c r="H392" i="1"/>
  <c r="I8" i="4"/>
  <c r="C16" i="4"/>
  <c r="G10" i="5"/>
  <c r="I10" i="5" s="1"/>
  <c r="F10" i="4"/>
  <c r="H21" i="1"/>
  <c r="H19" i="4"/>
  <c r="O6" i="5"/>
  <c r="P6" i="5" s="1"/>
  <c r="I19" i="4"/>
  <c r="F24" i="4"/>
  <c r="F16" i="4"/>
  <c r="C20" i="4"/>
  <c r="F7" i="5"/>
  <c r="C9" i="4"/>
  <c r="H9" i="1"/>
  <c r="H16" i="4"/>
  <c r="G7" i="5"/>
  <c r="I7" i="5" s="1"/>
  <c r="O18" i="5"/>
  <c r="P18" i="5" s="1"/>
  <c r="O28" i="5"/>
  <c r="P28" i="5" s="1"/>
  <c r="F20" i="4"/>
  <c r="H3" i="1"/>
  <c r="F19" i="4" s="1"/>
  <c r="F9" i="4"/>
  <c r="H16" i="1"/>
  <c r="C13" i="4"/>
  <c r="H20" i="4"/>
  <c r="C17" i="4"/>
  <c r="C21" i="4"/>
  <c r="O7" i="5"/>
  <c r="P7" i="5" s="1"/>
  <c r="H25" i="4"/>
  <c r="H10" i="4"/>
  <c r="G5" i="5"/>
  <c r="I5" i="5" s="1"/>
  <c r="O8" i="5"/>
  <c r="P8" i="5" s="1"/>
  <c r="C15" i="4"/>
  <c r="H22" i="4"/>
  <c r="H18" i="1"/>
  <c r="F18" i="4"/>
  <c r="H18" i="4"/>
  <c r="O15" i="5"/>
  <c r="P15" i="5" s="1"/>
  <c r="O23" i="5"/>
  <c r="P23" i="5" s="1"/>
  <c r="F11" i="4" l="1"/>
  <c r="G11" i="4" s="1"/>
  <c r="H6" i="5"/>
  <c r="H9" i="5"/>
  <c r="F26" i="4" s="1"/>
  <c r="M18" i="4" s="1"/>
  <c r="H7" i="5"/>
  <c r="H8" i="5"/>
  <c r="I26" i="4"/>
  <c r="H5" i="5"/>
  <c r="C26" i="4"/>
  <c r="D17" i="4" s="1"/>
  <c r="G13" i="4" l="1"/>
  <c r="G16" i="4"/>
  <c r="G8" i="4"/>
  <c r="G10" i="4"/>
  <c r="G21" i="4"/>
  <c r="G14" i="4"/>
  <c r="G17" i="4"/>
  <c r="G9" i="4"/>
  <c r="G12" i="4"/>
  <c r="G18" i="4"/>
  <c r="G23" i="4"/>
  <c r="G22" i="4"/>
  <c r="G24" i="4"/>
  <c r="G20" i="4"/>
  <c r="G15" i="4"/>
  <c r="G19" i="4"/>
  <c r="G25" i="4"/>
  <c r="D16" i="4"/>
  <c r="D8" i="4"/>
  <c r="D22" i="4"/>
  <c r="D25" i="4"/>
  <c r="D11" i="4"/>
  <c r="D10" i="4"/>
  <c r="D18" i="4"/>
  <c r="D23" i="4"/>
  <c r="D12" i="4"/>
  <c r="D14" i="4"/>
  <c r="D20" i="4"/>
  <c r="D13" i="4"/>
  <c r="D21" i="4"/>
  <c r="D9" i="4"/>
  <c r="D15" i="4"/>
  <c r="D19" i="4"/>
  <c r="D24" i="4"/>
  <c r="L17" i="4" l="1"/>
  <c r="N16" i="4"/>
  <c r="L15" i="4"/>
  <c r="N15" i="4"/>
  <c r="L16" i="4"/>
  <c r="M16" i="4"/>
  <c r="E24" i="4"/>
  <c r="M15" i="4"/>
  <c r="M17" i="4"/>
  <c r="N17" i="4"/>
  <c r="E21" i="4"/>
  <c r="E19" i="4"/>
  <c r="E23" i="4"/>
  <c r="E12" i="4"/>
  <c r="E9" i="4"/>
  <c r="E20" i="4"/>
  <c r="E22" i="4"/>
  <c r="E15" i="4"/>
  <c r="E13" i="4"/>
  <c r="E14" i="4"/>
  <c r="E18" i="4"/>
  <c r="E10" i="4"/>
  <c r="E11" i="4"/>
  <c r="E25" i="4"/>
  <c r="D26" i="4"/>
  <c r="E8" i="4"/>
  <c r="E16" i="4"/>
  <c r="E17" i="4"/>
  <c r="L10" i="4" l="1"/>
  <c r="N10" i="4"/>
  <c r="M10" i="4"/>
  <c r="M9" i="4"/>
  <c r="N9" i="4"/>
  <c r="L9" i="4"/>
  <c r="N8" i="4"/>
  <c r="M8" i="4"/>
  <c r="L8" i="4"/>
  <c r="N11" i="4" l="1"/>
  <c r="M11" i="4"/>
</calcChain>
</file>

<file path=xl/sharedStrings.xml><?xml version="1.0" encoding="utf-8"?>
<sst xmlns="http://schemas.openxmlformats.org/spreadsheetml/2006/main" count="1677" uniqueCount="71">
  <si>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</si>
  <si>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</si>
  <si>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</si>
  <si>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</si>
  <si>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</si>
  <si>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</si>
  <si>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</si>
  <si>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</si>
  <si>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</si>
  <si>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</si>
  <si>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</si>
  <si>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</si>
  <si>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</si>
  <si>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</si>
  <si>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</si>
  <si>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</si>
  <si>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</si>
  <si>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</si>
  <si>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</si>
  <si>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</si>
  <si>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</si>
  <si>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</si>
  <si>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</si>
  <si>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</si>
  <si>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</si>
  <si>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</si>
  <si>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</si>
  <si>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1) Товарооборот, руб</t>
  </si>
  <si>
    <t>Общий итог</t>
  </si>
  <si>
    <t>2) Доля территории в общем товарообороте недели</t>
  </si>
  <si>
    <t>Товарооборот на склад, руб</t>
  </si>
  <si>
    <t>Топ-3 территорий за последнюю неделю</t>
  </si>
  <si>
    <t>Топ-3 по доле в общем товарообороте</t>
  </si>
  <si>
    <t>Доля в общем товарообороте</t>
  </si>
  <si>
    <t>Ранг по доле</t>
  </si>
  <si>
    <t>Ранг по ТО на склад</t>
  </si>
  <si>
    <t>Дней с продажами</t>
  </si>
  <si>
    <t>Складов (среднее)</t>
  </si>
  <si>
    <t>Место</t>
  </si>
  <si>
    <t>Доля</t>
  </si>
  <si>
    <t>Итого топ-3</t>
  </si>
  <si>
    <t>Топ-3 по товарообороту на склад</t>
  </si>
  <si>
    <t>ТО на склад, руб</t>
  </si>
  <si>
    <t>Среднее по сети</t>
  </si>
  <si>
    <t>Итого по сети</t>
  </si>
  <si>
    <t>Понедельная динамика товарооборота и товарооборота на склад (все территории)</t>
  </si>
  <si>
    <t>Подпись для графика</t>
  </si>
  <si>
    <t>Начало</t>
  </si>
  <si>
    <t>Конец</t>
  </si>
  <si>
    <t>Дней в данных</t>
  </si>
  <si>
    <t>Среднедневной товарооборот, руб</t>
  </si>
  <si>
    <t>Складов, всего</t>
  </si>
  <si>
    <t>* неполная неделя: 18-я — 6 дней (данные с 28.04), 23-я — 1 день (01.06). Неделя 23 в график не включена, чтобы не искажать динамику.</t>
  </si>
  <si>
    <t>№ п/п</t>
  </si>
  <si>
    <t>Неделя 1 (29.04-03.05)</t>
  </si>
  <si>
    <t>Неделя 2 (04.05-10.05)</t>
  </si>
  <si>
    <t>Неделя 3 (11.05-17.05)</t>
  </si>
  <si>
    <t>Неделя 4 (18.05-24.05)</t>
  </si>
  <si>
    <t>Неделя 5 (25.05-31.05)</t>
  </si>
  <si>
    <t>Неделя 6 (01.06.20)</t>
  </si>
  <si>
    <t>Неделя (по календарю)</t>
  </si>
  <si>
    <t>Неделя (по отчету)</t>
  </si>
  <si>
    <t>Названия строк</t>
  </si>
  <si>
    <t>Сумма по полю Товарооборот, руб</t>
  </si>
  <si>
    <t>Названия столбцов</t>
  </si>
  <si>
    <t>Сводная таблица по неделям и территориям</t>
  </si>
  <si>
    <t>Сумма по полю Товарооборот на склад</t>
  </si>
  <si>
    <t xml:space="preserve">3) Товарооборот на склад, руб </t>
  </si>
  <si>
    <t>Неделя анализа (по календарю):</t>
  </si>
  <si>
    <t>Последняя полная неделя в данных — 22-я (25.05–31.05). 23-я неделя содержит данные только за 01.06, поэтому для вывода взята 22-я.</t>
  </si>
  <si>
    <t>Вспомогательная таблица по дням (вся сеть)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</si>
</sst>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"/>
    <numFmt numFmtId="166" formatCode="0.0%"/>
    <numFmt numFmtId="167" formatCode="#,##0_ ;[Red]\-#,##0\ 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b/>
      <sz val="11"/>
      <color rgb="FF1F3864"/>
      <name val="Calibri"/>
    </font>
    <font>
      <b/>
      <sz val="11"/>
      <name val="Calibri"/>
    </font>
    <font>
      <b/>
      <sz val="12"/>
      <name val="Calibri"/>
    </font>
    <font>
      <sz val="9"/>
      <color rgb="FF404040"/>
      <name val="Calibri"/>
    </font>
    <font>
      <b/>
      <sz val="11"/>
      <color rgb="FFFFFFFF"/>
      <name val="Calibri"/>
      <family val="2"/>
      <charset val="204"/>
    </font>
    <font>
      <b/>
      <sz val="14"/>
      <name val="Calibri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i/>
      <sz val="9"/>
      <color rgb="FF595959"/>
      <name val="Calibri"/>
      <family val="2"/>
      <charset val="204"/>
    </font>
    <font>
      <i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 applyAlignment="1"/>
    <xf numFmtId="0" fontId="1" fillId="0" borderId="0" xfId="0" applyFont="1" applyAlignment="1">
      <alignment vertical="center" wrapText="1"/>
    </xf>
    <xf numFmtId="0" fontId="1" fillId="2" borderId="2" xfId="0" applyFont="1" applyFill="1" applyBorder="1"/>
    <xf numFmtId="0" fontId="2" fillId="0" borderId="0" xfId="0" applyFont="1"/>
    <xf numFmtId="0" fontId="1" fillId="0" borderId="4" xfId="0" applyFont="1" applyBorder="1"/>
    <xf numFmtId="0" fontId="1" fillId="0" borderId="6" xfId="0" applyFont="1" applyBorder="1"/>
    <xf numFmtId="0" fontId="0" fillId="0" borderId="0" xfId="0"/>
    <xf numFmtId="0" fontId="3" fillId="3" borderId="7" xfId="0" applyFont="1" applyFill="1" applyBorder="1" applyAlignment="1">
      <alignment horizontal="center" vertical="center" wrapText="1"/>
    </xf>
    <xf numFmtId="0" fontId="4" fillId="0" borderId="0" xfId="0" applyFont="1" applyAlignment="1"/>
    <xf numFmtId="164" fontId="1" fillId="2" borderId="1" xfId="0" applyNumberFormat="1" applyFont="1" applyFill="1" applyBorder="1"/>
    <xf numFmtId="165" fontId="1" fillId="2" borderId="2" xfId="0" applyNumberFormat="1" applyFont="1" applyFill="1" applyBorder="1"/>
    <xf numFmtId="164" fontId="1" fillId="0" borderId="3" xfId="0" applyNumberFormat="1" applyFont="1" applyBorder="1"/>
    <xf numFmtId="165" fontId="1" fillId="0" borderId="4" xfId="0" applyNumberFormat="1" applyFont="1" applyBorder="1"/>
    <xf numFmtId="164" fontId="1" fillId="0" borderId="5" xfId="0" applyNumberFormat="1" applyFont="1" applyBorder="1"/>
    <xf numFmtId="165" fontId="1" fillId="0" borderId="6" xfId="0" applyNumberFormat="1" applyFont="1" applyBorder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164" fontId="0" fillId="0" borderId="0" xfId="0" applyNumberFormat="1" applyAlignment="1">
      <alignment horizontal="center" vertical="center" wrapText="1"/>
    </xf>
    <xf numFmtId="0" fontId="0" fillId="0" borderId="7" xfId="0" applyBorder="1"/>
    <xf numFmtId="3" fontId="0" fillId="0" borderId="7" xfId="0" applyNumberFormat="1" applyBorder="1"/>
    <xf numFmtId="166" fontId="0" fillId="0" borderId="7" xfId="0" applyNumberFormat="1" applyBorder="1"/>
    <xf numFmtId="0" fontId="0" fillId="0" borderId="7" xfId="0" applyBorder="1" applyAlignment="1">
      <alignment horizontal="center"/>
    </xf>
    <xf numFmtId="165" fontId="0" fillId="0" borderId="7" xfId="0" applyNumberFormat="1" applyBorder="1"/>
    <xf numFmtId="0" fontId="8" fillId="0" borderId="0" xfId="0" applyFont="1"/>
    <xf numFmtId="164" fontId="0" fillId="0" borderId="7" xfId="0" applyNumberFormat="1" applyBorder="1"/>
    <xf numFmtId="0" fontId="0" fillId="0" borderId="0" xfId="0" pivotButton="1" applyAlignment="1"/>
    <xf numFmtId="0" fontId="0" fillId="0" borderId="0" xfId="0" applyAlignment="1">
      <alignment horizontal="left"/>
    </xf>
    <xf numFmtId="10" fontId="0" fillId="0" borderId="0" xfId="0" applyNumberFormat="1" applyAlignment="1"/>
    <xf numFmtId="0" fontId="3" fillId="3" borderId="0" xfId="0" applyFont="1" applyFill="1" applyBorder="1" applyAlignment="1">
      <alignment horizontal="center" vertical="center" wrapText="1"/>
    </xf>
    <xf numFmtId="1" fontId="1" fillId="2" borderId="0" xfId="0" applyNumberFormat="1" applyFont="1" applyFill="1" applyBorder="1"/>
    <xf numFmtId="1" fontId="1" fillId="0" borderId="0" xfId="0" applyNumberFormat="1" applyFont="1" applyBorder="1"/>
    <xf numFmtId="0" fontId="9" fillId="3" borderId="0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0" fontId="0" fillId="0" borderId="0" xfId="0" applyAlignment="1">
      <alignment wrapText="1"/>
    </xf>
    <xf numFmtId="167" fontId="0" fillId="0" borderId="0" xfId="0" applyNumberFormat="1" applyAlignment="1"/>
    <xf numFmtId="0" fontId="0" fillId="0" borderId="0" xfId="0" pivotButton="1" applyAlignment="1">
      <alignment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13" fillId="0" borderId="0" xfId="0" applyFont="1"/>
    <xf numFmtId="1" fontId="9" fillId="3" borderId="7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/>
    <xf numFmtId="1" fontId="1" fillId="0" borderId="4" xfId="0" applyNumberFormat="1" applyFont="1" applyBorder="1"/>
    <xf numFmtId="1" fontId="1" fillId="0" borderId="6" xfId="0" applyNumberFormat="1" applyFont="1" applyBorder="1"/>
    <xf numFmtId="1" fontId="0" fillId="0" borderId="0" xfId="0" applyNumberFormat="1"/>
    <xf numFmtId="0" fontId="7" fillId="5" borderId="7" xfId="0" applyFont="1" applyFill="1" applyBorder="1" applyAlignment="1">
      <alignment horizontal="center" vertical="center" wrapText="1"/>
    </xf>
    <xf numFmtId="0" fontId="0" fillId="6" borderId="7" xfId="0" applyFill="1" applyBorder="1"/>
    <xf numFmtId="0" fontId="6" fillId="6" borderId="7" xfId="0" applyFont="1" applyFill="1" applyBorder="1"/>
    <xf numFmtId="166" fontId="0" fillId="6" borderId="7" xfId="0" applyNumberFormat="1" applyFill="1" applyBorder="1"/>
    <xf numFmtId="3" fontId="0" fillId="6" borderId="7" xfId="0" applyNumberFormat="1" applyFill="1" applyBorder="1"/>
    <xf numFmtId="3" fontId="6" fillId="6" borderId="7" xfId="0" applyNumberFormat="1" applyFont="1" applyFill="1" applyBorder="1"/>
    <xf numFmtId="166" fontId="6" fillId="6" borderId="7" xfId="0" applyNumberFormat="1" applyFont="1" applyFill="1" applyBorder="1"/>
    <xf numFmtId="165" fontId="6" fillId="6" borderId="7" xfId="0" applyNumberFormat="1" applyFont="1" applyFill="1" applyBorder="1"/>
    <xf numFmtId="0" fontId="14" fillId="0" borderId="0" xfId="0" applyFont="1"/>
  </cellXfs>
  <cellStyles count="1">
    <cellStyle name="Обычный" xfId="0" builtinId="0"/>
  </cellStyles>
  <dxfs count="13">
    <dxf>
      <font>
        <color rgb="FFC00000"/>
      </font>
      <fill>
        <patternFill patternType="solid">
          <fgColor rgb="FFC6EFCE"/>
        </patternFill>
      </fill>
    </dxf>
    <dxf>
      <font>
        <color rgb="FFCC0000"/>
      </font>
      <fill>
        <patternFill patternType="solid">
          <fgColor rgb="FFC6EFCE"/>
        </patternFill>
      </fill>
    </dxf>
    <dxf>
      <numFmt numFmtId="14" formatCode="0.00%"/>
    </dxf>
    <dxf>
      <numFmt numFmtId="167" formatCode="#,##0_ ;[Red]\-#,##0\ "/>
    </dxf>
    <dxf>
      <alignment wrapText="1"/>
    </dxf>
    <dxf>
      <alignment wrapText="1"/>
    </dxf>
    <dxf>
      <alignment wrapText="1"/>
    </dxf>
    <dxf>
      <numFmt numFmtId="167" formatCode="#,##0_ ;[Red]\-#,##0\ "/>
    </dxf>
    <dxf>
      <alignment wrapText="1"/>
    </dxf>
    <dxf>
      <alignment wrapText="1"/>
    </dxf>
    <dxf>
      <numFmt numFmtId="167" formatCode="#,##0_ ;[Red]\-#,##0\ "/>
    </dxf>
    <dxf>
      <alignment wrapText="1"/>
    </dxf>
    <dxf>
      <alignment wrapText="1"/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ru-RU"/>
              <a:t>Товарооборот и товарооборот на склад по неделям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951287878787877"/>
          <c:y val="3.1903792198388993E-2"/>
          <c:w val="0.75735833333333336"/>
          <c:h val="0.832174574832421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'1.2 Динамика'!$G$4</c:f>
              <c:strCache>
                <c:ptCount val="1"/>
                <c:pt idx="0">
                  <c:v>Товарооборот, руб</c:v>
                </c:pt>
              </c:strCache>
            </c:strRef>
          </c:tx>
          <c:spPr>
            <a:solidFill>
              <a:srgbClr val="2F5597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'1.2 Динамика'!$C$5:$C$9</c:f>
              <c:strCache>
                <c:ptCount val="5"/>
                <c:pt idx="0">
                  <c:v>Неделя 1 (29.04-03.05)</c:v>
                </c:pt>
                <c:pt idx="1">
                  <c:v>Неделя 2 (04.05-10.05)</c:v>
                </c:pt>
                <c:pt idx="2">
                  <c:v>Неделя 3 (11.05-17.05)</c:v>
                </c:pt>
                <c:pt idx="3">
                  <c:v>Неделя 4 (18.05-24.05)</c:v>
                </c:pt>
                <c:pt idx="4">
                  <c:v>Неделя 5 (25.05-31.05)</c:v>
                </c:pt>
              </c:strCache>
            </c:strRef>
          </c:cat>
          <c:val>
            <c:numRef>
              <c:f>'1.2 Динамика'!$G$5:$G$9</c:f>
              <c:numCache>
                <c:formatCode>#,##0</c:formatCode>
                <c:ptCount val="5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51B-465F-A36C-6317E8C1C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'1.2 Динамика'!$H$4</c:f>
              <c:strCache>
                <c:ptCount val="1"/>
                <c:pt idx="0">
                  <c:v>Товарооборот на склад, руб</c:v>
                </c:pt>
              </c:strCache>
            </c:strRef>
          </c:tx>
          <c:spPr>
            <a:ln w="28000">
              <a:solidFill>
                <a:srgbClr val="ED7D31"/>
              </a:solidFill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rgbClr val="C55A11"/>
                    </a:solidFill>
                  </a:defRPr>
                </a:pPr>
                <a:endParaRPr lang="ru-KZ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'1.2 Динамика'!$H$5:$H$9</c:f>
              <c:numCache>
                <c:formatCode>#,##0</c:formatCode>
                <c:ptCount val="5"/>
                <c:pt idx="0">
                  <c:v>1497280.5627014809</c:v>
                </c:pt>
                <c:pt idx="1">
                  <c:v>1731743.0383612507</c:v>
                </c:pt>
                <c:pt idx="2">
                  <c:v>1660131.234617247</c:v>
                </c:pt>
                <c:pt idx="3">
                  <c:v>1745761.0319047205</c:v>
                </c:pt>
                <c:pt idx="4">
                  <c:v>1779489.1848684214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1B-465F-A36C-6317E8C1C2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200000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Товарооборот, руб</a:t>
                </a:r>
              </a:p>
            </c:rich>
          </c:tx>
          <c:overlay val="1"/>
        </c:title>
        <c:numFmt formatCode="#,##0,,&quot;млн&quot;" sourceLinked="0"/>
        <c:majorTickMark val="none"/>
        <c:minorTickMark val="none"/>
        <c:tickLblPos val="nextTo"/>
        <c:crossAx val="10"/>
        <c:crosses val="min"/>
        <c:crossBetween val="between"/>
      </c:valAx>
      <c:valAx>
        <c:axId val="200"/>
        <c:scaling>
          <c:orientation val="minMax"/>
          <c:max val="1900000"/>
          <c:min val="80000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Товарооборот на склад, руб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7920000" cy="5124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G STRIX" refreshedDate="46293.587184837961" createdVersion="6" refreshedVersion="6" minRefreshableVersion="3" recordCount="504" xr:uid="{26D59AB5-F741-4328-82C2-4B6B07AB5E16}">
  <cacheSource type="worksheet">
    <worksheetSource ref="A1:K505" sheet="Лист1"/>
  </cacheSource>
  <cacheFields count="11">
    <cacheField name="Дата" numFmtId="16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Краснодар"/>
        <s v="Москва Запад"/>
        <s v="Москва Восток"/>
        <s v="Новосибирск"/>
        <s v="Ростов-на-Дону"/>
        <s v="Тюмень"/>
        <s v="Самара"/>
        <s v="Томск"/>
        <s v="Уфа"/>
      </sharedItems>
    </cacheField>
    <cacheField name="Товарооборот, шт" numFmtId="165">
      <sharedItems containsSemiMixedTypes="0" containsString="0" containsNumber="1" minValue="4285.5" maxValue="524481"/>
    </cacheField>
    <cacheField name="Товарооборот, руб" numFmtId="165">
      <sharedItems containsSemiMixedTypes="0" containsString="0" containsNumber="1" minValue="389013" maxValue="54172029" count="504">
        <n v="2411587.5"/>
        <n v="7163644.5"/>
        <n v="869983.5"/>
        <n v="2136817.5"/>
        <n v="29159032.5"/>
        <n v="39918028.5"/>
        <n v="6288246"/>
        <n v="2863600.5"/>
        <n v="1102887"/>
        <n v="2277072"/>
        <n v="21114898.5"/>
        <n v="20003263.5"/>
        <n v="992541"/>
        <n v="2623480.5"/>
        <n v="7180498.5"/>
        <n v="797919"/>
        <n v="2397588"/>
        <n v="30869287.5"/>
        <n v="41559384"/>
        <n v="6454458"/>
        <n v="2627595"/>
        <n v="1115992.5"/>
        <n v="2360914.5"/>
        <n v="21615333"/>
        <n v="20871391.5"/>
        <n v="981519"/>
        <n v="2817196.5"/>
        <n v="7023727.5"/>
        <n v="716196"/>
        <n v="2267664"/>
        <n v="32418879"/>
        <n v="43028734.5"/>
        <n v="6819594"/>
        <n v="2853310.5"/>
        <n v="1103068.5"/>
        <n v="404691"/>
        <n v="2560080"/>
        <n v="22530000"/>
        <n v="21740460"/>
        <n v="1004511"/>
        <n v="3031254"/>
        <n v="8893024.5"/>
        <n v="891139.5"/>
        <n v="2374356"/>
        <n v="31053316.5"/>
        <n v="40077193.5"/>
        <n v="7032225"/>
        <n v="4293241.5"/>
        <n v="1465842"/>
        <n v="505572"/>
        <n v="3168510"/>
        <n v="25413351"/>
        <n v="23953536"/>
        <n v="1134444"/>
        <n v="2711247"/>
        <n v="5554192.5"/>
        <n v="617881.5"/>
        <n v="1799230.5"/>
        <n v="24342016.5"/>
        <n v="31843737"/>
        <n v="4118251.5"/>
        <n v="2470465.5"/>
        <n v="1053220.5"/>
        <n v="433243.5"/>
        <n v="1682851.5"/>
        <n v="19625364"/>
        <n v="18625921.5"/>
        <n v="816859.5"/>
        <n v="2434914"/>
        <n v="7013670"/>
        <n v="637881"/>
        <n v="2170309.5"/>
        <n v="28427001"/>
        <n v="36631999.5"/>
        <n v="6221320.5"/>
        <n v="2720002.5"/>
        <n v="1120009.5"/>
        <n v="665302.5"/>
        <n v="1906557"/>
        <n v="26492278.5"/>
        <n v="25519072.5"/>
        <n v="816150"/>
        <n v="2372310"/>
        <n v="6642249"/>
        <n v="728890.5"/>
        <n v="2450968.5"/>
        <n v="29357940"/>
        <n v="38406954"/>
        <n v="5561452.5"/>
        <n v="2817853.5"/>
        <n v="1085211"/>
        <n v="610855.5"/>
        <n v="2155668"/>
        <n v="24292218"/>
        <n v="22796827.5"/>
        <n v="906343.5"/>
        <n v="2906763"/>
        <n v="6921316.5"/>
        <n v="793320"/>
        <n v="2079900"/>
        <n v="27278441.145"/>
        <n v="35671734"/>
        <n v="5770539"/>
        <n v="2648688"/>
        <n v="1384179"/>
        <n v="694593"/>
        <n v="2380333.5"/>
        <n v="21919435.5"/>
        <n v="20880142.5"/>
        <n v="1145575.5"/>
        <n v="2938623"/>
        <n v="6168657"/>
        <n v="696832.5"/>
        <n v="2232519"/>
        <n v="28770810.105599999"/>
        <n v="38092344"/>
        <n v="5454121.5"/>
        <n v="2738127"/>
        <n v="1221057"/>
        <n v="739291.5"/>
        <n v="2159350.5"/>
        <n v="23032992"/>
        <n v="22126444.5"/>
        <n v="1016566.5"/>
        <n v="2472213"/>
        <n v="6591883.5"/>
        <n v="863754"/>
        <n v="2350672.5"/>
        <n v="25325271"/>
        <n v="33763989"/>
        <n v="6175837.5"/>
        <n v="2934504"/>
        <n v="1123894.5"/>
        <n v="769276.5"/>
        <n v="2308336.5"/>
        <n v="22460130"/>
        <n v="21463023"/>
        <n v="965880"/>
        <n v="2645160"/>
        <n v="6293776.5"/>
        <n v="959703"/>
        <n v="2271454.5"/>
        <n v="38091556.5"/>
        <n v="49123180.5"/>
        <n v="5365708.5"/>
        <n v="3201358.5"/>
        <n v="1269786"/>
        <n v="798759"/>
        <n v="2235960"/>
        <n v="23881948.5"/>
        <n v="22846078.5"/>
        <n v="1046848.5"/>
        <n v="2831019"/>
        <n v="6264933"/>
        <n v="1046400"/>
        <n v="2902167"/>
        <n v="29768199"/>
        <n v="38693427"/>
        <n v="7253427"/>
        <n v="3084892.5"/>
        <n v="1222932"/>
        <n v="1081216.5"/>
        <n v="2384937"/>
        <n v="19218631.5"/>
        <n v="18085798.5"/>
        <n v="955801.5"/>
        <n v="3312967.5"/>
        <n v="7483194"/>
        <n v="1004788.5"/>
        <n v="2862298.5"/>
        <n v="29536176.10605"/>
        <n v="39010875"/>
        <n v="7726069.5"/>
        <n v="3549097.5"/>
        <n v="1471537.5"/>
        <n v="1198285.5"/>
        <n v="2767270.5"/>
        <n v="24890404.5"/>
        <n v="23443725"/>
        <n v="1216557"/>
        <n v="2479396.5"/>
        <n v="6398719.5"/>
        <n v="734335.5"/>
        <n v="3911979"/>
        <n v="24628233.223949999"/>
        <n v="33781581"/>
        <n v="5178169.5"/>
        <n v="3079630.5"/>
        <n v="1096002"/>
        <n v="1081158"/>
        <n v="2164365"/>
        <n v="17919144"/>
        <n v="16971231"/>
        <n v="880356"/>
        <n v="2595778.5"/>
        <n v="6398361"/>
        <n v="732964.5"/>
        <n v="2370432"/>
        <n v="29042520"/>
        <n v="39578577"/>
        <n v="5523145.5"/>
        <n v="3080614.5"/>
        <n v="1123830"/>
        <n v="989632.5"/>
        <n v="2243160"/>
        <n v="19205179.5"/>
        <n v="18718036.5"/>
        <n v="1092277.5"/>
        <n v="2629782"/>
        <n v="6993952.5"/>
        <n v="865714.5"/>
        <n v="2373337.5"/>
        <n v="26467453.5"/>
        <n v="37197115.5"/>
        <n v="6333828"/>
        <n v="3288069"/>
        <n v="1243507.5"/>
        <n v="949912.5"/>
        <n v="2263651.5"/>
        <n v="19437273"/>
        <n v="18784000.5"/>
        <n v="1172691"/>
        <n v="2703132"/>
        <n v="6053649"/>
        <n v="981564"/>
        <n v="2441520"/>
        <n v="28181292"/>
        <n v="37963150.5"/>
        <n v="5366602.5"/>
        <n v="3166479"/>
        <n v="1223491.5"/>
        <n v="963502.5"/>
        <n v="2225341.5"/>
        <n v="19942435.5"/>
        <n v="18640998"/>
        <n v="1131676.5"/>
        <n v="3038293.5"/>
        <n v="6876454.5"/>
        <n v="1150579.5"/>
        <n v="2949078"/>
        <n v="32354331"/>
        <n v="42271377"/>
        <n v="6293952"/>
        <n v="3772258.5"/>
        <n v="1370482.5"/>
        <n v="1122730.5"/>
        <n v="2477487"/>
        <n v="23085222"/>
        <n v="21895294.5"/>
        <n v="1091040"/>
        <n v="3395892"/>
        <n v="7583758.5"/>
        <n v="1130506.5"/>
        <n v="3222517.5"/>
        <n v="32235864"/>
        <n v="42323631"/>
        <n v="6652179"/>
        <n v="4025148"/>
        <n v="1601425.5"/>
        <n v="1215033"/>
        <n v="2922883.5"/>
        <n v="23689383"/>
        <n v="22355338.5"/>
        <n v="1316350.5"/>
        <n v="2882458.5"/>
        <n v="6774946.5"/>
        <n v="843727.5"/>
        <n v="2694289.5"/>
        <n v="26659930.5"/>
        <n v="36834567"/>
        <n v="5952802.5"/>
        <n v="3191155.5"/>
        <n v="1377577.5"/>
        <n v="1060489.5"/>
        <n v="2435632.5"/>
        <n v="19546386"/>
        <n v="18449091"/>
        <n v="1157529"/>
        <n v="2826379.5"/>
        <n v="6609714"/>
        <n v="936427.5"/>
        <n v="2588148"/>
        <n v="27535284.147599999"/>
        <n v="36876888"/>
        <n v="5798476.5"/>
        <n v="3360135"/>
        <n v="1246162.5"/>
        <n v="1115146.5"/>
        <n v="2324490"/>
        <n v="20422435.5"/>
        <n v="19855122"/>
        <n v="1230711"/>
        <n v="2771116.5"/>
        <n v="6815511"/>
        <n v="938764.5"/>
        <n v="2865337.5"/>
        <n v="27093624"/>
        <n v="37023243"/>
        <n v="6173463"/>
        <n v="3552937.5"/>
        <n v="1364847"/>
        <n v="1403047.5"/>
        <n v="2446530"/>
        <n v="21945858"/>
        <n v="20590072.5"/>
        <n v="1126810.5"/>
        <n v="2929330.5"/>
        <n v="7247575.5"/>
        <n v="1037247"/>
        <n v="2692230"/>
        <n v="29368771.617449999"/>
        <n v="39639309"/>
        <n v="7121946"/>
        <n v="3918987"/>
        <n v="1430254.5"/>
        <n v="1104858"/>
        <n v="2520759"/>
        <n v="21959286"/>
        <n v="21411349.5"/>
        <n v="1217749.5"/>
        <n v="2744382"/>
        <n v="6633847.5"/>
        <n v="935523"/>
        <n v="2853181.5"/>
        <n v="27852900"/>
        <n v="37902156.57"/>
        <n v="5864085"/>
        <n v="3810394.5"/>
        <n v="1380751.5"/>
        <n v="1103623.5"/>
        <n v="2198935.5"/>
        <n v="22253295"/>
        <n v="21042673.5"/>
        <n v="1172574"/>
        <n v="3091069.5"/>
        <n v="7728465"/>
        <n v="1455049.5"/>
        <n v="3414180"/>
        <n v="29465769"/>
        <n v="39498373.5"/>
        <n v="5943489"/>
        <n v="4840833"/>
        <n v="1774329"/>
        <n v="1411909.5"/>
        <n v="2540715"/>
        <n v="22380772.5"/>
        <n v="20812585.5"/>
        <n v="1398771"/>
        <n v="3628726.5"/>
        <n v="8089143"/>
        <n v="1241383.5"/>
        <n v="3385372.5"/>
        <n v="35103926.711549997"/>
        <n v="46408080"/>
        <n v="7173117"/>
        <n v="3883215"/>
        <n v="1854001.5"/>
        <n v="1315075.5"/>
        <n v="3089140.5"/>
        <n v="28590910.5"/>
        <n v="26806626"/>
        <n v="1457391"/>
        <n v="2924746.5"/>
        <n v="6451032"/>
        <n v="828984"/>
        <n v="2915533.5"/>
        <n v="28188534"/>
        <n v="38191381.5"/>
        <n v="6098236.5"/>
        <n v="3449302.5"/>
        <n v="1548099"/>
        <n v="1184865"/>
        <n v="2526909"/>
        <n v="19959801"/>
        <n v="19071117"/>
        <n v="1386262.5"/>
        <n v="3176580"/>
        <n v="6645603"/>
        <n v="1030440"/>
        <n v="2865727.5"/>
        <n v="27165913.5"/>
        <n v="36883428"/>
        <n v="5704650"/>
        <n v="3561655.5"/>
        <n v="1507867.5"/>
        <n v="1230687"/>
        <n v="2512803"/>
        <n v="20582743.5"/>
        <n v="19806927"/>
        <n v="1326705"/>
        <n v="2970330"/>
        <n v="6676459.5"/>
        <n v="983109"/>
        <n v="2907411"/>
        <n v="27872617.898850001"/>
        <n v="38365960.5"/>
        <n v="5864989.5"/>
        <n v="3700311"/>
        <n v="1489132.5"/>
        <n v="1152054"/>
        <n v="2410803"/>
        <n v="25163431.5"/>
        <n v="23856345"/>
        <n v="833815.5"/>
        <n v="1210456.5"/>
        <n v="3015751.5"/>
        <n v="6701083.5"/>
        <n v="1054798.5"/>
        <n v="2924133"/>
        <n v="29256993"/>
        <n v="39034861.5"/>
        <n v="5985894"/>
        <n v="3780852"/>
        <n v="1603084.5"/>
        <n v="1211457"/>
        <n v="2458555.5"/>
        <n v="22342300.5"/>
        <n v="20953324.5"/>
        <n v="687684"/>
        <n v="1350199.5"/>
        <n v="643944"/>
        <n v="2827773"/>
        <n v="6641569.5"/>
        <n v="1114552.5"/>
        <n v="3004213.5"/>
        <n v="28151004.75"/>
        <n v="37947688.5"/>
        <n v="6101931"/>
        <n v="3893680.5"/>
        <n v="1487928"/>
        <n v="1239747"/>
        <n v="2559211.5"/>
        <n v="20535733.5"/>
        <n v="19549036.5"/>
        <n v="694669.5"/>
        <n v="1387443"/>
        <n v="651237"/>
        <n v="3193167"/>
        <n v="7387116"/>
        <n v="1273464"/>
        <n v="3258054"/>
        <n v="41767140.104999997"/>
        <n v="54172029"/>
        <n v="7228395"/>
        <n v="4108596"/>
        <n v="1764669"/>
        <n v="1549020"/>
        <n v="2854741.5"/>
        <n v="23120443.5"/>
        <n v="22416151.5"/>
        <n v="850840.5"/>
        <n v="1438255.5"/>
        <n v="787101"/>
        <n v="3921784.5"/>
        <n v="9164707.5"/>
        <n v="1260483"/>
        <n v="3654166.5"/>
        <n v="35724493.5"/>
        <n v="46370904"/>
        <n v="9098386.5"/>
        <n v="4456441.5"/>
        <n v="2457252"/>
        <n v="1609090.5"/>
        <n v="3005334"/>
        <n v="24527245.5"/>
        <n v="24151980"/>
        <n v="928675.5"/>
        <n v="1773154.5"/>
        <n v="623971.5"/>
        <n v="3473895"/>
        <n v="7512646.5"/>
        <n v="1045515"/>
        <n v="2991999"/>
        <n v="29327766"/>
        <n v="39380178"/>
        <n v="6500848.5"/>
        <n v="3994153.5"/>
        <n v="1592119.5"/>
        <n v="1336789.5"/>
        <n v="2794324.5"/>
        <n v="21585316.5"/>
        <n v="20717248.5"/>
        <n v="493893"/>
        <n v="468835.5"/>
        <n v="866023.5"/>
        <n v="1423410"/>
        <n v="636345"/>
        <n v="2945035.5"/>
        <n v="6829921.5"/>
        <n v="1007742"/>
        <n v="3013512"/>
        <n v="27770092.5"/>
        <n v="37257840.18135"/>
        <n v="5800290"/>
        <n v="3865251"/>
        <n v="1526608.5"/>
        <n v="1565632.5"/>
        <n v="2538967.5"/>
        <n v="19465372.5"/>
        <n v="18914194.5"/>
        <n v="389013"/>
        <n v="410892"/>
        <n v="802447.5"/>
        <n v="1293219"/>
      </sharedItems>
    </cacheField>
    <cacheField name="Количество складов" numFmtId="165">
      <sharedItems containsSemiMixedTypes="0" containsString="0" containsNumber="1" containsInteger="1" minValue="6" maxValue="129"/>
    </cacheField>
    <cacheField name="Количество заказов" numFmtId="165">
      <sharedItems containsSemiMixedTypes="0" containsString="0" containsNumber="1" containsInteger="1" minValue="237" maxValue="25828"/>
    </cacheField>
    <cacheField name="Количество клиентов" numFmtId="165">
      <sharedItems containsSemiMixedTypes="0" containsString="0" containsNumber="1" containsInteger="1" minValue="175" maxValue="23974"/>
    </cacheField>
    <cacheField name="Товарооборот на склад" numFmtId="165">
      <sharedItems containsSemiMixedTypes="0" containsString="0" containsNumber="1" minValue="26979.4" maxValue="496419"/>
    </cacheField>
    <cacheField name="Неделя (по календарю)" numFmtId="165">
      <sharedItems containsSemiMixedTypes="0" containsString="0" containsNumber="1" containsInteger="1" minValue="18" maxValue="23" count="6">
        <n v="18"/>
        <n v="19"/>
        <n v="20"/>
        <n v="21"/>
        <n v="22"/>
        <n v="23"/>
      </sharedItems>
    </cacheField>
    <cacheField name="№ п/п" numFmtId="1">
      <sharedItems containsSemiMixedTypes="0" containsString="0" containsNumber="1" containsInteger="1" minValue="1" maxValue="504"/>
    </cacheField>
    <cacheField name="Неделя (по отчету)" numFmtId="1">
      <sharedItems count="6">
        <s v="Неделя 1 (29.04-03.05)"/>
        <s v="Неделя 2 (04.05-10.05)"/>
        <s v="Неделя 3 (11.05-17.05)"/>
        <s v="Неделя 4 (18.05-24.05)"/>
        <s v="Неделя 5 (25.05-31.05)"/>
        <s v="Неделя 6 (01.06.20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4-28T00:00:00"/>
    <x v="0"/>
    <n v="26940"/>
    <x v="0"/>
    <n v="18"/>
    <n v="1539"/>
    <n v="1404"/>
    <n v="133977.08333333334"/>
    <x v="0"/>
    <n v="17"/>
    <x v="0"/>
  </r>
  <r>
    <d v="2020-04-28T00:00:00"/>
    <x v="1"/>
    <n v="81826.5"/>
    <x v="1"/>
    <n v="31"/>
    <n v="5465"/>
    <n v="5096"/>
    <n v="231085.30645161291"/>
    <x v="0"/>
    <n v="44"/>
    <x v="0"/>
  </r>
  <r>
    <d v="2020-04-28T00:00:00"/>
    <x v="2"/>
    <n v="12331.5"/>
    <x v="2"/>
    <n v="10"/>
    <n v="580"/>
    <n v="506"/>
    <n v="86998.35"/>
    <x v="0"/>
    <n v="68"/>
    <x v="0"/>
  </r>
  <r>
    <d v="2020-04-28T00:00:00"/>
    <x v="3"/>
    <n v="23314.5"/>
    <x v="3"/>
    <n v="17"/>
    <n v="1439"/>
    <n v="1265"/>
    <n v="125695.14705882352"/>
    <x v="0"/>
    <n v="98"/>
    <x v="0"/>
  </r>
  <r>
    <d v="2020-04-28T00:00:00"/>
    <x v="4"/>
    <n v="286002"/>
    <x v="4"/>
    <n v="128"/>
    <n v="16450"/>
    <n v="15320"/>
    <n v="227804.94140625"/>
    <x v="0"/>
    <n v="125"/>
    <x v="0"/>
  </r>
  <r>
    <d v="2020-04-28T00:00:00"/>
    <x v="5"/>
    <n v="376060.5"/>
    <x v="5"/>
    <n v="125"/>
    <n v="20914"/>
    <n v="19479"/>
    <n v="319344.228"/>
    <x v="0"/>
    <n v="149"/>
    <x v="0"/>
  </r>
  <r>
    <d v="2020-04-28T00:00:00"/>
    <x v="6"/>
    <n v="73147.5"/>
    <x v="6"/>
    <n v="36"/>
    <n v="4923"/>
    <n v="4560"/>
    <n v="174673.5"/>
    <x v="0"/>
    <n v="176"/>
    <x v="0"/>
  </r>
  <r>
    <d v="2020-04-28T00:00:00"/>
    <x v="7"/>
    <n v="32181"/>
    <x v="7"/>
    <n v="19"/>
    <n v="1846"/>
    <n v="1681"/>
    <n v="150715.81578947368"/>
    <x v="0"/>
    <n v="203"/>
    <x v="0"/>
  </r>
  <r>
    <d v="2020-04-28T00:00:00"/>
    <x v="8"/>
    <n v="13303.5"/>
    <x v="8"/>
    <n v="15"/>
    <n v="780"/>
    <n v="690"/>
    <n v="73525.8"/>
    <x v="0"/>
    <n v="233"/>
    <x v="0"/>
  </r>
  <r>
    <d v="2020-04-28T00:00:00"/>
    <x v="9"/>
    <n v="25149"/>
    <x v="9"/>
    <n v="18"/>
    <n v="1505"/>
    <n v="1368"/>
    <n v="126504"/>
    <x v="0"/>
    <n v="257"/>
    <x v="0"/>
  </r>
  <r>
    <d v="2020-04-28T00:00:00"/>
    <x v="10"/>
    <n v="204637.5"/>
    <x v="10"/>
    <n v="59"/>
    <n v="12943"/>
    <n v="12072"/>
    <n v="357879.63559322036"/>
    <x v="0"/>
    <n v="297"/>
    <x v="0"/>
  </r>
  <r>
    <d v="2020-04-28T00:00:00"/>
    <x v="11"/>
    <n v="195705"/>
    <x v="11"/>
    <n v="54"/>
    <n v="12306"/>
    <n v="11532"/>
    <n v="370430.80555555556"/>
    <x v="0"/>
    <n v="314"/>
    <x v="0"/>
  </r>
  <r>
    <d v="2020-04-28T00:00:00"/>
    <x v="12"/>
    <n v="12541.5"/>
    <x v="12"/>
    <n v="15"/>
    <n v="636"/>
    <n v="547"/>
    <n v="66169.399999999994"/>
    <x v="0"/>
    <n v="351"/>
    <x v="0"/>
  </r>
  <r>
    <d v="2020-04-29T00:00:00"/>
    <x v="0"/>
    <n v="29319"/>
    <x v="13"/>
    <n v="18"/>
    <n v="1684"/>
    <n v="1528"/>
    <n v="145748.91666666666"/>
    <x v="0"/>
    <n v="9"/>
    <x v="0"/>
  </r>
  <r>
    <d v="2020-04-29T00:00:00"/>
    <x v="1"/>
    <n v="79527"/>
    <x v="14"/>
    <n v="31"/>
    <n v="5378"/>
    <n v="4985"/>
    <n v="231628.98387096773"/>
    <x v="0"/>
    <n v="36"/>
    <x v="0"/>
  </r>
  <r>
    <d v="2020-04-29T00:00:00"/>
    <x v="2"/>
    <n v="10840.5"/>
    <x v="15"/>
    <n v="10"/>
    <n v="502"/>
    <n v="433"/>
    <n v="79791.899999999994"/>
    <x v="0"/>
    <n v="60"/>
    <x v="0"/>
  </r>
  <r>
    <d v="2020-04-29T00:00:00"/>
    <x v="3"/>
    <n v="25917"/>
    <x v="16"/>
    <n v="18"/>
    <n v="1534"/>
    <n v="1369"/>
    <n v="133199.33333333334"/>
    <x v="0"/>
    <n v="90"/>
    <x v="0"/>
  </r>
  <r>
    <d v="2020-04-29T00:00:00"/>
    <x v="4"/>
    <n v="298059"/>
    <x v="17"/>
    <n v="128"/>
    <n v="17368"/>
    <n v="16077"/>
    <n v="241166.30859375"/>
    <x v="0"/>
    <n v="117"/>
    <x v="0"/>
  </r>
  <r>
    <d v="2020-04-29T00:00:00"/>
    <x v="5"/>
    <n v="387220.5"/>
    <x v="18"/>
    <n v="125"/>
    <n v="21863"/>
    <n v="20160"/>
    <n v="332475.07199999999"/>
    <x v="0"/>
    <n v="141"/>
    <x v="0"/>
  </r>
  <r>
    <d v="2020-04-29T00:00:00"/>
    <x v="6"/>
    <n v="74707.5"/>
    <x v="19"/>
    <n v="36"/>
    <n v="4937"/>
    <n v="4561"/>
    <n v="179290.5"/>
    <x v="0"/>
    <n v="168"/>
    <x v="0"/>
  </r>
  <r>
    <d v="2020-04-29T00:00:00"/>
    <x v="7"/>
    <n v="29142"/>
    <x v="20"/>
    <n v="19"/>
    <n v="1676"/>
    <n v="1516"/>
    <n v="138294.47368421053"/>
    <x v="0"/>
    <n v="195"/>
    <x v="0"/>
  </r>
  <r>
    <d v="2020-04-29T00:00:00"/>
    <x v="8"/>
    <n v="13014"/>
    <x v="21"/>
    <n v="15"/>
    <n v="786"/>
    <n v="695"/>
    <n v="74399.5"/>
    <x v="0"/>
    <n v="225"/>
    <x v="0"/>
  </r>
  <r>
    <d v="2020-04-29T00:00:00"/>
    <x v="9"/>
    <n v="25816.5"/>
    <x v="22"/>
    <n v="18"/>
    <n v="1599"/>
    <n v="1450"/>
    <n v="131161.91666666666"/>
    <x v="0"/>
    <n v="249"/>
    <x v="0"/>
  </r>
  <r>
    <d v="2020-04-29T00:00:00"/>
    <x v="10"/>
    <n v="208351.5"/>
    <x v="23"/>
    <n v="59"/>
    <n v="13186"/>
    <n v="12251"/>
    <n v="366361.57627118647"/>
    <x v="0"/>
    <n v="296"/>
    <x v="0"/>
  </r>
  <r>
    <d v="2020-04-29T00:00:00"/>
    <x v="11"/>
    <n v="203209.5"/>
    <x v="24"/>
    <n v="54"/>
    <n v="12747"/>
    <n v="11884"/>
    <n v="386507.25"/>
    <x v="0"/>
    <n v="306"/>
    <x v="0"/>
  </r>
  <r>
    <d v="2020-04-29T00:00:00"/>
    <x v="12"/>
    <n v="12250.5"/>
    <x v="25"/>
    <n v="15"/>
    <n v="659"/>
    <n v="575"/>
    <n v="65434.6"/>
    <x v="0"/>
    <n v="350"/>
    <x v="0"/>
  </r>
  <r>
    <d v="2020-04-30T00:00:00"/>
    <x v="0"/>
    <n v="30445.5"/>
    <x v="26"/>
    <n v="19"/>
    <n v="1712"/>
    <n v="1552"/>
    <n v="148273.5"/>
    <x v="0"/>
    <n v="23"/>
    <x v="0"/>
  </r>
  <r>
    <d v="2020-04-30T00:00:00"/>
    <x v="1"/>
    <n v="77565"/>
    <x v="27"/>
    <n v="31"/>
    <n v="5120"/>
    <n v="4737"/>
    <n v="226571.85483870967"/>
    <x v="0"/>
    <n v="50"/>
    <x v="0"/>
  </r>
  <r>
    <d v="2020-04-30T00:00:00"/>
    <x v="2"/>
    <n v="8934"/>
    <x v="28"/>
    <n v="10"/>
    <n v="448"/>
    <n v="376"/>
    <n v="71619.600000000006"/>
    <x v="0"/>
    <n v="77"/>
    <x v="0"/>
  </r>
  <r>
    <d v="2020-04-30T00:00:00"/>
    <x v="3"/>
    <n v="24211.5"/>
    <x v="29"/>
    <n v="19"/>
    <n v="1499"/>
    <n v="1322"/>
    <n v="119350.73684210527"/>
    <x v="0"/>
    <n v="104"/>
    <x v="0"/>
  </r>
  <r>
    <d v="2020-04-30T00:00:00"/>
    <x v="4"/>
    <n v="311131.5"/>
    <x v="30"/>
    <n v="129"/>
    <n v="18042"/>
    <n v="16631"/>
    <n v="251309.13953488372"/>
    <x v="0"/>
    <n v="131"/>
    <x v="0"/>
  </r>
  <r>
    <d v="2020-04-30T00:00:00"/>
    <x v="5"/>
    <n v="401580"/>
    <x v="31"/>
    <n v="125"/>
    <n v="22368"/>
    <n v="20625"/>
    <n v="344229.87599999999"/>
    <x v="0"/>
    <n v="158"/>
    <x v="0"/>
  </r>
  <r>
    <d v="2020-04-30T00:00:00"/>
    <x v="6"/>
    <n v="78235.5"/>
    <x v="32"/>
    <n v="36"/>
    <n v="5143"/>
    <n v="4715"/>
    <n v="189433.16666666666"/>
    <x v="0"/>
    <n v="185"/>
    <x v="0"/>
  </r>
  <r>
    <d v="2020-04-30T00:00:00"/>
    <x v="7"/>
    <n v="31231.5"/>
    <x v="33"/>
    <n v="20"/>
    <n v="1756"/>
    <n v="1586"/>
    <n v="142665.52499999999"/>
    <x v="0"/>
    <n v="212"/>
    <x v="0"/>
  </r>
  <r>
    <d v="2020-04-30T00:00:00"/>
    <x v="8"/>
    <n v="12753"/>
    <x v="34"/>
    <n v="15"/>
    <n v="791"/>
    <n v="691"/>
    <n v="73537.899999999994"/>
    <x v="0"/>
    <n v="239"/>
    <x v="0"/>
  </r>
  <r>
    <d v="2020-04-30T00:00:00"/>
    <x v="13"/>
    <n v="4285.5"/>
    <x v="35"/>
    <n v="15"/>
    <n v="262"/>
    <n v="195"/>
    <n v="26979.4"/>
    <x v="0"/>
    <n v="266"/>
    <x v="0"/>
  </r>
  <r>
    <d v="2020-04-30T00:00:00"/>
    <x v="9"/>
    <n v="27883.5"/>
    <x v="36"/>
    <n v="19"/>
    <n v="1662"/>
    <n v="1506"/>
    <n v="134741.05263157896"/>
    <x v="0"/>
    <n v="291"/>
    <x v="0"/>
  </r>
  <r>
    <d v="2020-04-30T00:00:00"/>
    <x v="10"/>
    <n v="214386"/>
    <x v="37"/>
    <n v="59"/>
    <n v="13251"/>
    <n v="12255"/>
    <n v="381864.40677966102"/>
    <x v="0"/>
    <n v="320"/>
    <x v="0"/>
  </r>
  <r>
    <d v="2020-04-30T00:00:00"/>
    <x v="11"/>
    <n v="206038.5"/>
    <x v="38"/>
    <n v="54"/>
    <n v="12817"/>
    <n v="11865"/>
    <n v="402601.11111111112"/>
    <x v="0"/>
    <n v="345"/>
    <x v="0"/>
  </r>
  <r>
    <d v="2020-04-30T00:00:00"/>
    <x v="12"/>
    <n v="11976"/>
    <x v="39"/>
    <n v="15"/>
    <n v="644"/>
    <n v="550"/>
    <n v="66967.399999999994"/>
    <x v="0"/>
    <n v="372"/>
    <x v="0"/>
  </r>
  <r>
    <d v="2020-05-01T00:00:00"/>
    <x v="0"/>
    <n v="32487"/>
    <x v="40"/>
    <n v="18"/>
    <n v="1826"/>
    <n v="1633"/>
    <n v="168403"/>
    <x v="0"/>
    <n v="12"/>
    <x v="0"/>
  </r>
  <r>
    <d v="2020-05-01T00:00:00"/>
    <x v="1"/>
    <n v="97534.5"/>
    <x v="41"/>
    <n v="31"/>
    <n v="6118"/>
    <n v="5564"/>
    <n v="286871.75806451612"/>
    <x v="0"/>
    <n v="39"/>
    <x v="0"/>
  </r>
  <r>
    <d v="2020-05-01T00:00:00"/>
    <x v="2"/>
    <n v="11619"/>
    <x v="42"/>
    <n v="10"/>
    <n v="554"/>
    <n v="472"/>
    <n v="89113.95"/>
    <x v="0"/>
    <n v="63"/>
    <x v="0"/>
  </r>
  <r>
    <d v="2020-05-01T00:00:00"/>
    <x v="3"/>
    <n v="25792.5"/>
    <x v="43"/>
    <n v="19"/>
    <n v="1497"/>
    <n v="1291"/>
    <n v="124966.10526315789"/>
    <x v="0"/>
    <n v="93"/>
    <x v="0"/>
  </r>
  <r>
    <d v="2020-05-01T00:00:00"/>
    <x v="4"/>
    <n v="296149.5"/>
    <x v="44"/>
    <n v="129"/>
    <n v="17002"/>
    <n v="15570"/>
    <n v="240723.38372093023"/>
    <x v="0"/>
    <n v="120"/>
    <x v="0"/>
  </r>
  <r>
    <d v="2020-05-01T00:00:00"/>
    <x v="5"/>
    <n v="372504"/>
    <x v="45"/>
    <n v="125"/>
    <n v="20602"/>
    <n v="18845"/>
    <n v="320617.54800000001"/>
    <x v="0"/>
    <n v="144"/>
    <x v="0"/>
  </r>
  <r>
    <d v="2020-05-01T00:00:00"/>
    <x v="6"/>
    <n v="82228.5"/>
    <x v="46"/>
    <n v="36"/>
    <n v="5457"/>
    <n v="4916"/>
    <n v="195339.58333333334"/>
    <x v="0"/>
    <n v="171"/>
    <x v="0"/>
  </r>
  <r>
    <d v="2020-05-01T00:00:00"/>
    <x v="7"/>
    <n v="46620"/>
    <x v="47"/>
    <n v="20"/>
    <n v="2468"/>
    <n v="2221"/>
    <n v="214662.07500000001"/>
    <x v="0"/>
    <n v="198"/>
    <x v="0"/>
  </r>
  <r>
    <d v="2020-05-01T00:00:00"/>
    <x v="8"/>
    <n v="17113.5"/>
    <x v="48"/>
    <n v="15"/>
    <n v="996"/>
    <n v="888"/>
    <n v="97722.8"/>
    <x v="0"/>
    <n v="228"/>
    <x v="0"/>
  </r>
  <r>
    <d v="2020-05-01T00:00:00"/>
    <x v="13"/>
    <n v="5446.5"/>
    <x v="49"/>
    <n v="15"/>
    <n v="294"/>
    <n v="225"/>
    <n v="33704.800000000003"/>
    <x v="0"/>
    <n v="252"/>
    <x v="0"/>
  </r>
  <r>
    <d v="2020-05-01T00:00:00"/>
    <x v="9"/>
    <n v="35190"/>
    <x v="50"/>
    <n v="19"/>
    <n v="1987"/>
    <n v="1791"/>
    <n v="166763.68421052632"/>
    <x v="0"/>
    <n v="278"/>
    <x v="0"/>
  </r>
  <r>
    <d v="2020-05-01T00:00:00"/>
    <x v="10"/>
    <n v="239409"/>
    <x v="51"/>
    <n v="59"/>
    <n v="15222"/>
    <n v="13873"/>
    <n v="430734.76271186443"/>
    <x v="0"/>
    <n v="309"/>
    <x v="0"/>
  </r>
  <r>
    <d v="2020-05-01T00:00:00"/>
    <x v="11"/>
    <n v="226540.5"/>
    <x v="52"/>
    <n v="54"/>
    <n v="14205"/>
    <n v="13026"/>
    <n v="443584"/>
    <x v="0"/>
    <n v="332"/>
    <x v="0"/>
  </r>
  <r>
    <d v="2020-05-01T00:00:00"/>
    <x v="12"/>
    <n v="13644"/>
    <x v="53"/>
    <n v="15"/>
    <n v="721"/>
    <n v="625"/>
    <n v="75629.600000000006"/>
    <x v="0"/>
    <n v="362"/>
    <x v="0"/>
  </r>
  <r>
    <d v="2020-05-02T00:00:00"/>
    <x v="0"/>
    <n v="29031"/>
    <x v="54"/>
    <n v="18"/>
    <n v="1708"/>
    <n v="1534"/>
    <n v="150624.83333333334"/>
    <x v="0"/>
    <n v="10"/>
    <x v="0"/>
  </r>
  <r>
    <d v="2020-05-02T00:00:00"/>
    <x v="1"/>
    <n v="60463.5"/>
    <x v="55"/>
    <n v="31"/>
    <n v="4157"/>
    <n v="3823"/>
    <n v="179167.5"/>
    <x v="0"/>
    <n v="37"/>
    <x v="0"/>
  </r>
  <r>
    <d v="2020-05-02T00:00:00"/>
    <x v="2"/>
    <n v="7866"/>
    <x v="56"/>
    <n v="10"/>
    <n v="416"/>
    <n v="341"/>
    <n v="61788.15"/>
    <x v="0"/>
    <n v="61"/>
    <x v="0"/>
  </r>
  <r>
    <d v="2020-05-02T00:00:00"/>
    <x v="3"/>
    <n v="19461"/>
    <x v="57"/>
    <n v="19"/>
    <n v="1217"/>
    <n v="1048"/>
    <n v="94696.34210526316"/>
    <x v="0"/>
    <n v="91"/>
    <x v="0"/>
  </r>
  <r>
    <d v="2020-05-02T00:00:00"/>
    <x v="4"/>
    <n v="232903.5"/>
    <x v="58"/>
    <n v="129"/>
    <n v="14009"/>
    <n v="12920"/>
    <n v="188697.8023255814"/>
    <x v="0"/>
    <n v="118"/>
    <x v="0"/>
  </r>
  <r>
    <d v="2020-05-02T00:00:00"/>
    <x v="5"/>
    <n v="296580"/>
    <x v="59"/>
    <n v="125"/>
    <n v="16932"/>
    <n v="15601"/>
    <n v="254749.89600000001"/>
    <x v="0"/>
    <n v="142"/>
    <x v="0"/>
  </r>
  <r>
    <d v="2020-05-02T00:00:00"/>
    <x v="6"/>
    <n v="46216.5"/>
    <x v="60"/>
    <n v="36"/>
    <n v="3442"/>
    <n v="3147"/>
    <n v="114395.875"/>
    <x v="0"/>
    <n v="169"/>
    <x v="0"/>
  </r>
  <r>
    <d v="2020-05-02T00:00:00"/>
    <x v="7"/>
    <n v="26428.5"/>
    <x v="61"/>
    <n v="20"/>
    <n v="1613"/>
    <n v="1457"/>
    <n v="123523.27499999999"/>
    <x v="0"/>
    <n v="196"/>
    <x v="0"/>
  </r>
  <r>
    <d v="2020-05-02T00:00:00"/>
    <x v="8"/>
    <n v="12313.5"/>
    <x v="62"/>
    <n v="15"/>
    <n v="751"/>
    <n v="651"/>
    <n v="70214.7"/>
    <x v="0"/>
    <n v="226"/>
    <x v="0"/>
  </r>
  <r>
    <d v="2020-05-02T00:00:00"/>
    <x v="13"/>
    <n v="4624.5"/>
    <x v="63"/>
    <n v="15"/>
    <n v="274"/>
    <n v="203"/>
    <n v="28882.9"/>
    <x v="0"/>
    <n v="250"/>
    <x v="0"/>
  </r>
  <r>
    <d v="2020-05-02T00:00:00"/>
    <x v="9"/>
    <n v="18427.5"/>
    <x v="64"/>
    <n v="19"/>
    <n v="1206"/>
    <n v="1080"/>
    <n v="88571.131578947374"/>
    <x v="0"/>
    <n v="276"/>
    <x v="0"/>
  </r>
  <r>
    <d v="2020-05-02T00:00:00"/>
    <x v="10"/>
    <n v="185979"/>
    <x v="65"/>
    <n v="59"/>
    <n v="12429"/>
    <n v="11477"/>
    <n v="332633.28813559323"/>
    <x v="0"/>
    <n v="307"/>
    <x v="0"/>
  </r>
  <r>
    <d v="2020-05-02T00:00:00"/>
    <x v="11"/>
    <n v="176397"/>
    <x v="66"/>
    <n v="54"/>
    <n v="11622"/>
    <n v="10754"/>
    <n v="344924.47222222225"/>
    <x v="0"/>
    <n v="330"/>
    <x v="0"/>
  </r>
  <r>
    <d v="2020-05-02T00:00:00"/>
    <x v="12"/>
    <n v="10018.5"/>
    <x v="67"/>
    <n v="15"/>
    <n v="567"/>
    <n v="493"/>
    <n v="54457.3"/>
    <x v="0"/>
    <n v="360"/>
    <x v="0"/>
  </r>
  <r>
    <d v="2020-05-03T00:00:00"/>
    <x v="0"/>
    <n v="26082"/>
    <x v="68"/>
    <n v="20"/>
    <n v="1520"/>
    <n v="1373"/>
    <n v="121745.7"/>
    <x v="0"/>
    <n v="19"/>
    <x v="0"/>
  </r>
  <r>
    <d v="2020-05-03T00:00:00"/>
    <x v="1"/>
    <n v="77263.5"/>
    <x v="69"/>
    <n v="31"/>
    <n v="5155"/>
    <n v="4762"/>
    <n v="226247.4193548387"/>
    <x v="0"/>
    <n v="46"/>
    <x v="0"/>
  </r>
  <r>
    <d v="2020-05-03T00:00:00"/>
    <x v="2"/>
    <n v="8185.5"/>
    <x v="70"/>
    <n v="10"/>
    <n v="402"/>
    <n v="333"/>
    <n v="63788.1"/>
    <x v="0"/>
    <n v="71"/>
    <x v="0"/>
  </r>
  <r>
    <d v="2020-05-03T00:00:00"/>
    <x v="3"/>
    <n v="23539.5"/>
    <x v="71"/>
    <n v="19"/>
    <n v="1402"/>
    <n v="1234"/>
    <n v="114226.81578947368"/>
    <x v="0"/>
    <n v="100"/>
    <x v="0"/>
  </r>
  <r>
    <d v="2020-05-03T00:00:00"/>
    <x v="4"/>
    <n v="274083"/>
    <x v="72"/>
    <n v="129"/>
    <n v="15778"/>
    <n v="14624"/>
    <n v="220364.34883720931"/>
    <x v="0"/>
    <n v="127"/>
    <x v="0"/>
  </r>
  <r>
    <d v="2020-05-03T00:00:00"/>
    <x v="5"/>
    <n v="342666"/>
    <x v="73"/>
    <n v="125"/>
    <n v="18861"/>
    <n v="17420"/>
    <n v="293055.99599999998"/>
    <x v="0"/>
    <n v="152"/>
    <x v="0"/>
  </r>
  <r>
    <d v="2020-05-03T00:00:00"/>
    <x v="6"/>
    <n v="70581"/>
    <x v="74"/>
    <n v="36"/>
    <n v="4751"/>
    <n v="4370"/>
    <n v="172814.45833333334"/>
    <x v="0"/>
    <n v="179"/>
    <x v="0"/>
  </r>
  <r>
    <d v="2020-05-03T00:00:00"/>
    <x v="7"/>
    <n v="29935.5"/>
    <x v="75"/>
    <n v="20"/>
    <n v="1716"/>
    <n v="1561"/>
    <n v="136000.125"/>
    <x v="0"/>
    <n v="206"/>
    <x v="0"/>
  </r>
  <r>
    <d v="2020-05-03T00:00:00"/>
    <x v="8"/>
    <n v="12924"/>
    <x v="76"/>
    <n v="15"/>
    <n v="784"/>
    <n v="696"/>
    <n v="74667.3"/>
    <x v="0"/>
    <n v="235"/>
    <x v="0"/>
  </r>
  <r>
    <d v="2020-05-03T00:00:00"/>
    <x v="13"/>
    <n v="8127"/>
    <x v="77"/>
    <n v="15"/>
    <n v="455"/>
    <n v="384"/>
    <n v="44353.5"/>
    <x v="0"/>
    <n v="260"/>
    <x v="0"/>
  </r>
  <r>
    <d v="2020-05-03T00:00:00"/>
    <x v="9"/>
    <n v="21343.5"/>
    <x v="78"/>
    <n v="19"/>
    <n v="1314"/>
    <n v="1192"/>
    <n v="100345.10526315789"/>
    <x v="0"/>
    <n v="285"/>
    <x v="0"/>
  </r>
  <r>
    <d v="2020-05-03T00:00:00"/>
    <x v="10"/>
    <n v="257215.5"/>
    <x v="79"/>
    <n v="59"/>
    <n v="15277"/>
    <n v="14163"/>
    <n v="449021.66949152545"/>
    <x v="0"/>
    <n v="316"/>
    <x v="0"/>
  </r>
  <r>
    <d v="2020-05-03T00:00:00"/>
    <x v="11"/>
    <n v="248148"/>
    <x v="80"/>
    <n v="54"/>
    <n v="14823"/>
    <n v="13751"/>
    <n v="472575.41666666669"/>
    <x v="0"/>
    <n v="339"/>
    <x v="0"/>
  </r>
  <r>
    <d v="2020-05-03T00:00:00"/>
    <x v="12"/>
    <n v="10032"/>
    <x v="81"/>
    <n v="15"/>
    <n v="585"/>
    <n v="502"/>
    <n v="54410"/>
    <x v="0"/>
    <n v="368"/>
    <x v="0"/>
  </r>
  <r>
    <d v="2020-05-04T00:00:00"/>
    <x v="0"/>
    <n v="25566"/>
    <x v="82"/>
    <n v="20"/>
    <n v="1519"/>
    <n v="1372"/>
    <n v="118615.5"/>
    <x v="1"/>
    <n v="8"/>
    <x v="1"/>
  </r>
  <r>
    <d v="2020-05-04T00:00:00"/>
    <x v="1"/>
    <n v="72928.5"/>
    <x v="83"/>
    <n v="31"/>
    <n v="4968"/>
    <n v="4596"/>
    <n v="214266.09677419355"/>
    <x v="1"/>
    <n v="35"/>
    <x v="1"/>
  </r>
  <r>
    <d v="2020-05-04T00:00:00"/>
    <x v="2"/>
    <n v="9130.5"/>
    <x v="84"/>
    <n v="10"/>
    <n v="462"/>
    <n v="396"/>
    <n v="72889.05"/>
    <x v="1"/>
    <n v="59"/>
    <x v="1"/>
  </r>
  <r>
    <d v="2020-05-04T00:00:00"/>
    <x v="3"/>
    <n v="27072"/>
    <x v="85"/>
    <n v="19"/>
    <n v="1582"/>
    <n v="1403"/>
    <n v="128998.34210526316"/>
    <x v="1"/>
    <n v="89"/>
    <x v="1"/>
  </r>
  <r>
    <d v="2020-05-04T00:00:00"/>
    <x v="4"/>
    <n v="283942.5"/>
    <x v="86"/>
    <n v="129"/>
    <n v="16525"/>
    <n v="15310"/>
    <n v="227580.93023255814"/>
    <x v="1"/>
    <n v="116"/>
    <x v="1"/>
  </r>
  <r>
    <d v="2020-05-04T00:00:00"/>
    <x v="5"/>
    <n v="360255"/>
    <x v="87"/>
    <n v="125"/>
    <n v="20495"/>
    <n v="18964"/>
    <n v="307255.63199999998"/>
    <x v="1"/>
    <n v="140"/>
    <x v="1"/>
  </r>
  <r>
    <d v="2020-05-04T00:00:00"/>
    <x v="6"/>
    <n v="64108.5"/>
    <x v="88"/>
    <n v="36"/>
    <n v="4508"/>
    <n v="4149"/>
    <n v="154484.79166666666"/>
    <x v="1"/>
    <n v="167"/>
    <x v="1"/>
  </r>
  <r>
    <d v="2020-05-04T00:00:00"/>
    <x v="7"/>
    <n v="30780"/>
    <x v="89"/>
    <n v="20"/>
    <n v="1804"/>
    <n v="1638"/>
    <n v="140892.67499999999"/>
    <x v="1"/>
    <n v="194"/>
    <x v="1"/>
  </r>
  <r>
    <d v="2020-05-04T00:00:00"/>
    <x v="8"/>
    <n v="12301.5"/>
    <x v="90"/>
    <n v="15"/>
    <n v="750"/>
    <n v="647"/>
    <n v="72347.399999999994"/>
    <x v="1"/>
    <n v="224"/>
    <x v="1"/>
  </r>
  <r>
    <d v="2020-05-04T00:00:00"/>
    <x v="13"/>
    <n v="7087.5"/>
    <x v="91"/>
    <n v="15"/>
    <n v="390"/>
    <n v="315"/>
    <n v="40723.699999999997"/>
    <x v="1"/>
    <n v="248"/>
    <x v="1"/>
  </r>
  <r>
    <d v="2020-05-04T00:00:00"/>
    <x v="9"/>
    <n v="23587.5"/>
    <x v="92"/>
    <n v="19"/>
    <n v="1479"/>
    <n v="1346"/>
    <n v="113456.21052631579"/>
    <x v="1"/>
    <n v="275"/>
    <x v="1"/>
  </r>
  <r>
    <d v="2020-05-04T00:00:00"/>
    <x v="10"/>
    <n v="237544.5"/>
    <x v="93"/>
    <n v="59"/>
    <n v="14423"/>
    <n v="13432"/>
    <n v="411732.50847457629"/>
    <x v="1"/>
    <n v="305"/>
    <x v="1"/>
  </r>
  <r>
    <d v="2020-05-04T00:00:00"/>
    <x v="11"/>
    <n v="223617"/>
    <x v="94"/>
    <n v="54"/>
    <n v="13606"/>
    <n v="12697"/>
    <n v="422163.47222222225"/>
    <x v="1"/>
    <n v="329"/>
    <x v="1"/>
  </r>
  <r>
    <d v="2020-05-04T00:00:00"/>
    <x v="12"/>
    <n v="11062.5"/>
    <x v="95"/>
    <n v="15"/>
    <n v="622"/>
    <n v="538"/>
    <n v="60422.9"/>
    <x v="1"/>
    <n v="359"/>
    <x v="1"/>
  </r>
  <r>
    <d v="2020-05-05T00:00:00"/>
    <x v="0"/>
    <n v="31566"/>
    <x v="96"/>
    <n v="20"/>
    <n v="1773"/>
    <n v="1604"/>
    <n v="145338.15"/>
    <x v="1"/>
    <n v="16"/>
    <x v="1"/>
  </r>
  <r>
    <d v="2020-05-05T00:00:00"/>
    <x v="1"/>
    <n v="76585.5"/>
    <x v="97"/>
    <n v="31"/>
    <n v="5188"/>
    <n v="4800"/>
    <n v="223268.27419354839"/>
    <x v="1"/>
    <n v="43"/>
    <x v="1"/>
  </r>
  <r>
    <d v="2020-05-05T00:00:00"/>
    <x v="2"/>
    <n v="10147.5"/>
    <x v="98"/>
    <n v="10"/>
    <n v="511"/>
    <n v="437"/>
    <n v="79332"/>
    <x v="1"/>
    <n v="67"/>
    <x v="1"/>
  </r>
  <r>
    <d v="2020-05-05T00:00:00"/>
    <x v="3"/>
    <n v="22848"/>
    <x v="99"/>
    <n v="19"/>
    <n v="1417"/>
    <n v="1245"/>
    <n v="109468.42105263157"/>
    <x v="1"/>
    <n v="97"/>
    <x v="1"/>
  </r>
  <r>
    <d v="2020-05-05T00:00:00"/>
    <x v="4"/>
    <n v="262734"/>
    <x v="100"/>
    <n v="129"/>
    <n v="15665"/>
    <n v="14501"/>
    <n v="211460.78406976743"/>
    <x v="1"/>
    <n v="124"/>
    <x v="1"/>
  </r>
  <r>
    <d v="2020-05-05T00:00:00"/>
    <x v="5"/>
    <n v="333792"/>
    <x v="101"/>
    <n v="125"/>
    <n v="18944"/>
    <n v="17541"/>
    <n v="285373.87199999997"/>
    <x v="1"/>
    <n v="148"/>
    <x v="1"/>
  </r>
  <r>
    <d v="2020-05-05T00:00:00"/>
    <x v="6"/>
    <n v="66396"/>
    <x v="102"/>
    <n v="36"/>
    <n v="4575"/>
    <n v="4206"/>
    <n v="160292.75"/>
    <x v="1"/>
    <n v="175"/>
    <x v="1"/>
  </r>
  <r>
    <d v="2020-05-05T00:00:00"/>
    <x v="7"/>
    <n v="29482.5"/>
    <x v="103"/>
    <n v="20"/>
    <n v="1757"/>
    <n v="1596"/>
    <n v="132434.4"/>
    <x v="1"/>
    <n v="202"/>
    <x v="1"/>
  </r>
  <r>
    <d v="2020-05-05T00:00:00"/>
    <x v="8"/>
    <n v="15987"/>
    <x v="104"/>
    <n v="15"/>
    <n v="922"/>
    <n v="823"/>
    <n v="92278.6"/>
    <x v="1"/>
    <n v="232"/>
    <x v="1"/>
  </r>
  <r>
    <d v="2020-05-05T00:00:00"/>
    <x v="13"/>
    <n v="8223"/>
    <x v="105"/>
    <n v="15"/>
    <n v="455"/>
    <n v="381"/>
    <n v="46306.2"/>
    <x v="1"/>
    <n v="256"/>
    <x v="1"/>
  </r>
  <r>
    <d v="2020-05-05T00:00:00"/>
    <x v="9"/>
    <n v="26367"/>
    <x v="106"/>
    <n v="19"/>
    <n v="1622"/>
    <n v="1482"/>
    <n v="125280.71052631579"/>
    <x v="1"/>
    <n v="282"/>
    <x v="1"/>
  </r>
  <r>
    <d v="2020-05-05T00:00:00"/>
    <x v="10"/>
    <n v="213582"/>
    <x v="107"/>
    <n v="59"/>
    <n v="13469"/>
    <n v="12486"/>
    <n v="371515.85593220341"/>
    <x v="1"/>
    <n v="313"/>
    <x v="1"/>
  </r>
  <r>
    <d v="2020-05-05T00:00:00"/>
    <x v="11"/>
    <n v="203832"/>
    <x v="108"/>
    <n v="54"/>
    <n v="12775"/>
    <n v="11887"/>
    <n v="386669.30555555556"/>
    <x v="1"/>
    <n v="336"/>
    <x v="1"/>
  </r>
  <r>
    <d v="2020-05-05T00:00:00"/>
    <x v="12"/>
    <n v="13941"/>
    <x v="109"/>
    <n v="15"/>
    <n v="750"/>
    <n v="658"/>
    <n v="76371.7"/>
    <x v="1"/>
    <n v="366"/>
    <x v="1"/>
  </r>
  <r>
    <d v="2020-05-06T00:00:00"/>
    <x v="0"/>
    <n v="32511"/>
    <x v="110"/>
    <n v="20"/>
    <n v="1784"/>
    <n v="1632"/>
    <n v="146931.15"/>
    <x v="1"/>
    <n v="20"/>
    <x v="1"/>
  </r>
  <r>
    <d v="2020-05-06T00:00:00"/>
    <x v="1"/>
    <n v="68994"/>
    <x v="111"/>
    <n v="31"/>
    <n v="4709"/>
    <n v="4348"/>
    <n v="198988.93548387097"/>
    <x v="1"/>
    <n v="47"/>
    <x v="1"/>
  </r>
  <r>
    <d v="2020-05-06T00:00:00"/>
    <x v="2"/>
    <n v="9210"/>
    <x v="112"/>
    <n v="10"/>
    <n v="465"/>
    <n v="390"/>
    <n v="69683.25"/>
    <x v="1"/>
    <n v="73"/>
    <x v="1"/>
  </r>
  <r>
    <d v="2020-05-06T00:00:00"/>
    <x v="3"/>
    <n v="24678"/>
    <x v="113"/>
    <n v="19"/>
    <n v="1499"/>
    <n v="1323"/>
    <n v="117501"/>
    <x v="1"/>
    <n v="101"/>
    <x v="1"/>
  </r>
  <r>
    <d v="2020-05-06T00:00:00"/>
    <x v="4"/>
    <n v="277512"/>
    <x v="114"/>
    <n v="129"/>
    <n v="16376"/>
    <n v="15197"/>
    <n v="223029.53570232558"/>
    <x v="1"/>
    <n v="128"/>
    <x v="1"/>
  </r>
  <r>
    <d v="2020-05-06T00:00:00"/>
    <x v="5"/>
    <n v="355278"/>
    <x v="115"/>
    <n v="125"/>
    <n v="20218"/>
    <n v="18647"/>
    <n v="304738.75199999998"/>
    <x v="1"/>
    <n v="154"/>
    <x v="1"/>
  </r>
  <r>
    <d v="2020-05-06T00:00:00"/>
    <x v="6"/>
    <n v="63012"/>
    <x v="116"/>
    <n v="36"/>
    <n v="4384"/>
    <n v="4025"/>
    <n v="151503.375"/>
    <x v="1"/>
    <n v="181"/>
    <x v="1"/>
  </r>
  <r>
    <d v="2020-05-06T00:00:00"/>
    <x v="7"/>
    <n v="30342"/>
    <x v="117"/>
    <n v="20"/>
    <n v="1747"/>
    <n v="1570"/>
    <n v="136906.35"/>
    <x v="1"/>
    <n v="208"/>
    <x v="1"/>
  </r>
  <r>
    <d v="2020-05-06T00:00:00"/>
    <x v="8"/>
    <n v="14061"/>
    <x v="118"/>
    <n v="15"/>
    <n v="839"/>
    <n v="733"/>
    <n v="81403.8"/>
    <x v="1"/>
    <n v="236"/>
    <x v="1"/>
  </r>
  <r>
    <d v="2020-05-06T00:00:00"/>
    <x v="13"/>
    <n v="8464.5"/>
    <x v="119"/>
    <n v="15"/>
    <n v="467"/>
    <n v="389"/>
    <n v="49286.1"/>
    <x v="1"/>
    <n v="262"/>
    <x v="1"/>
  </r>
  <r>
    <d v="2020-05-06T00:00:00"/>
    <x v="9"/>
    <n v="24337.5"/>
    <x v="120"/>
    <n v="19"/>
    <n v="1509"/>
    <n v="1374"/>
    <n v="113650.02631578948"/>
    <x v="1"/>
    <n v="287"/>
    <x v="1"/>
  </r>
  <r>
    <d v="2020-05-06T00:00:00"/>
    <x v="10"/>
    <n v="224779.5"/>
    <x v="121"/>
    <n v="59"/>
    <n v="14103"/>
    <n v="13118"/>
    <n v="390389.69491525425"/>
    <x v="1"/>
    <n v="317"/>
    <x v="1"/>
  </r>
  <r>
    <d v="2020-05-06T00:00:00"/>
    <x v="11"/>
    <n v="216498"/>
    <x v="122"/>
    <n v="54"/>
    <n v="13406"/>
    <n v="12518"/>
    <n v="409748.97222222225"/>
    <x v="1"/>
    <n v="341"/>
    <x v="1"/>
  </r>
  <r>
    <d v="2020-05-06T00:00:00"/>
    <x v="12"/>
    <n v="12468"/>
    <x v="123"/>
    <n v="15"/>
    <n v="701"/>
    <n v="611"/>
    <n v="67771.100000000006"/>
    <x v="1"/>
    <n v="369"/>
    <x v="1"/>
  </r>
  <r>
    <d v="2020-05-07T00:00:00"/>
    <x v="0"/>
    <n v="27018"/>
    <x v="124"/>
    <n v="21"/>
    <n v="1542"/>
    <n v="1405"/>
    <n v="117724.42857142857"/>
    <x v="1"/>
    <n v="26"/>
    <x v="1"/>
  </r>
  <r>
    <d v="2020-05-07T00:00:00"/>
    <x v="1"/>
    <n v="73204.5"/>
    <x v="125"/>
    <n v="31"/>
    <n v="4903"/>
    <n v="4527"/>
    <n v="212641.40322580645"/>
    <x v="1"/>
    <n v="53"/>
    <x v="1"/>
  </r>
  <r>
    <d v="2020-05-07T00:00:00"/>
    <x v="2"/>
    <n v="11029.5"/>
    <x v="126"/>
    <n v="10"/>
    <n v="563"/>
    <n v="486"/>
    <n v="86375.4"/>
    <x v="1"/>
    <n v="80"/>
    <x v="1"/>
  </r>
  <r>
    <d v="2020-05-07T00:00:00"/>
    <x v="3"/>
    <n v="25468.5"/>
    <x v="127"/>
    <n v="19"/>
    <n v="1530"/>
    <n v="1338"/>
    <n v="123719.60526315789"/>
    <x v="1"/>
    <n v="107"/>
    <x v="1"/>
  </r>
  <r>
    <d v="2020-05-07T00:00:00"/>
    <x v="4"/>
    <n v="247813.5"/>
    <x v="128"/>
    <n v="129"/>
    <n v="14582"/>
    <n v="13512"/>
    <n v="196319.93023255814"/>
    <x v="1"/>
    <n v="134"/>
    <x v="1"/>
  </r>
  <r>
    <d v="2020-05-07T00:00:00"/>
    <x v="5"/>
    <n v="319110"/>
    <x v="129"/>
    <n v="125"/>
    <n v="18014"/>
    <n v="16675"/>
    <n v="270111.91200000001"/>
    <x v="1"/>
    <n v="161"/>
    <x v="1"/>
  </r>
  <r>
    <d v="2020-05-07T00:00:00"/>
    <x v="6"/>
    <n v="71067"/>
    <x v="130"/>
    <n v="36"/>
    <n v="4826"/>
    <n v="4426"/>
    <n v="171551.04166666666"/>
    <x v="1"/>
    <n v="188"/>
    <x v="1"/>
  </r>
  <r>
    <d v="2020-05-07T00:00:00"/>
    <x v="7"/>
    <n v="32851.5"/>
    <x v="131"/>
    <n v="21"/>
    <n v="1879"/>
    <n v="1695"/>
    <n v="139738.28571428571"/>
    <x v="1"/>
    <n v="215"/>
    <x v="1"/>
  </r>
  <r>
    <d v="2020-05-07T00:00:00"/>
    <x v="8"/>
    <n v="12705"/>
    <x v="132"/>
    <n v="15"/>
    <n v="805"/>
    <n v="703"/>
    <n v="74926.3"/>
    <x v="1"/>
    <n v="242"/>
    <x v="1"/>
  </r>
  <r>
    <d v="2020-05-07T00:00:00"/>
    <x v="13"/>
    <n v="8719.5"/>
    <x v="133"/>
    <n v="15"/>
    <n v="480"/>
    <n v="398"/>
    <n v="51285.1"/>
    <x v="1"/>
    <n v="269"/>
    <x v="1"/>
  </r>
  <r>
    <d v="2020-05-07T00:00:00"/>
    <x v="9"/>
    <n v="26184"/>
    <x v="134"/>
    <n v="19"/>
    <n v="1580"/>
    <n v="1435"/>
    <n v="121491.39473684211"/>
    <x v="1"/>
    <n v="294"/>
    <x v="1"/>
  </r>
  <r>
    <d v="2020-05-07T00:00:00"/>
    <x v="10"/>
    <n v="219411"/>
    <x v="135"/>
    <n v="59"/>
    <n v="13495"/>
    <n v="12517"/>
    <n v="380680.16949152545"/>
    <x v="1"/>
    <n v="323"/>
    <x v="1"/>
  </r>
  <r>
    <d v="2020-05-07T00:00:00"/>
    <x v="11"/>
    <n v="209415"/>
    <x v="136"/>
    <n v="54"/>
    <n v="12743"/>
    <n v="11858"/>
    <n v="397463.38888888888"/>
    <x v="1"/>
    <n v="348"/>
    <x v="1"/>
  </r>
  <r>
    <d v="2020-05-07T00:00:00"/>
    <x v="12"/>
    <n v="11719.5"/>
    <x v="137"/>
    <n v="15"/>
    <n v="676"/>
    <n v="591"/>
    <n v="64392"/>
    <x v="1"/>
    <n v="375"/>
    <x v="1"/>
  </r>
  <r>
    <d v="2020-05-08T00:00:00"/>
    <x v="0"/>
    <n v="29409"/>
    <x v="138"/>
    <n v="21"/>
    <n v="1646"/>
    <n v="1492"/>
    <n v="125960"/>
    <x v="1"/>
    <n v="25"/>
    <x v="1"/>
  </r>
  <r>
    <d v="2020-05-08T00:00:00"/>
    <x v="1"/>
    <n v="69544.5"/>
    <x v="139"/>
    <n v="31"/>
    <n v="4635"/>
    <n v="4266"/>
    <n v="203025.04838709679"/>
    <x v="1"/>
    <n v="52"/>
    <x v="1"/>
  </r>
  <r>
    <d v="2020-05-08T00:00:00"/>
    <x v="2"/>
    <n v="12528"/>
    <x v="140"/>
    <n v="10"/>
    <n v="638"/>
    <n v="547"/>
    <n v="95970.3"/>
    <x v="1"/>
    <n v="79"/>
    <x v="1"/>
  </r>
  <r>
    <d v="2020-05-08T00:00:00"/>
    <x v="3"/>
    <n v="25294.5"/>
    <x v="141"/>
    <n v="19"/>
    <n v="1522"/>
    <n v="1340"/>
    <n v="119550.23684210527"/>
    <x v="1"/>
    <n v="106"/>
    <x v="1"/>
  </r>
  <r>
    <d v="2020-05-08T00:00:00"/>
    <x v="4"/>
    <n v="370092"/>
    <x v="142"/>
    <n v="129"/>
    <n v="20452"/>
    <n v="18857"/>
    <n v="295283.38372093026"/>
    <x v="1"/>
    <n v="133"/>
    <x v="1"/>
  </r>
  <r>
    <d v="2020-05-08T00:00:00"/>
    <x v="5"/>
    <n v="463530"/>
    <x v="143"/>
    <n v="125"/>
    <n v="24620"/>
    <n v="22641"/>
    <n v="392985.44400000002"/>
    <x v="1"/>
    <n v="160"/>
    <x v="1"/>
  </r>
  <r>
    <d v="2020-05-08T00:00:00"/>
    <x v="6"/>
    <n v="61804.5"/>
    <x v="144"/>
    <n v="36"/>
    <n v="4199"/>
    <n v="3867"/>
    <n v="149047.45833333334"/>
    <x v="1"/>
    <n v="187"/>
    <x v="1"/>
  </r>
  <r>
    <d v="2020-05-08T00:00:00"/>
    <x v="7"/>
    <n v="34399.5"/>
    <x v="145"/>
    <n v="21"/>
    <n v="1957"/>
    <n v="1755"/>
    <n v="152445.64285714287"/>
    <x v="1"/>
    <n v="214"/>
    <x v="1"/>
  </r>
  <r>
    <d v="2020-05-08T00:00:00"/>
    <x v="8"/>
    <n v="14494.5"/>
    <x v="146"/>
    <n v="15"/>
    <n v="879"/>
    <n v="768"/>
    <n v="84652.4"/>
    <x v="1"/>
    <n v="241"/>
    <x v="1"/>
  </r>
  <r>
    <d v="2020-05-08T00:00:00"/>
    <x v="13"/>
    <n v="9058.5"/>
    <x v="147"/>
    <n v="15"/>
    <n v="492"/>
    <n v="412"/>
    <n v="53250.6"/>
    <x v="1"/>
    <n v="268"/>
    <x v="1"/>
  </r>
  <r>
    <d v="2020-05-08T00:00:00"/>
    <x v="9"/>
    <n v="25020"/>
    <x v="148"/>
    <n v="19"/>
    <n v="1520"/>
    <n v="1380"/>
    <n v="117682.10526315789"/>
    <x v="1"/>
    <n v="293"/>
    <x v="1"/>
  </r>
  <r>
    <d v="2020-05-08T00:00:00"/>
    <x v="10"/>
    <n v="232701"/>
    <x v="149"/>
    <n v="59"/>
    <n v="14098"/>
    <n v="13106"/>
    <n v="404778.78813559323"/>
    <x v="1"/>
    <n v="322"/>
    <x v="1"/>
  </r>
  <r>
    <d v="2020-05-08T00:00:00"/>
    <x v="11"/>
    <n v="225076.5"/>
    <x v="150"/>
    <n v="54"/>
    <n v="13563"/>
    <n v="12604"/>
    <n v="423075.52777777775"/>
    <x v="1"/>
    <n v="347"/>
    <x v="1"/>
  </r>
  <r>
    <d v="2020-05-08T00:00:00"/>
    <x v="12"/>
    <n v="12976.5"/>
    <x v="151"/>
    <n v="15"/>
    <n v="703"/>
    <n v="609"/>
    <n v="69789.899999999994"/>
    <x v="1"/>
    <n v="374"/>
    <x v="1"/>
  </r>
  <r>
    <d v="2020-05-09T00:00:00"/>
    <x v="0"/>
    <n v="31147.5"/>
    <x v="152"/>
    <n v="21"/>
    <n v="1735"/>
    <n v="1568"/>
    <n v="134810.42857142858"/>
    <x v="1"/>
    <n v="7"/>
    <x v="1"/>
  </r>
  <r>
    <d v="2020-05-09T00:00:00"/>
    <x v="1"/>
    <n v="69720"/>
    <x v="153"/>
    <n v="31"/>
    <n v="4556"/>
    <n v="4220"/>
    <n v="202094.61290322582"/>
    <x v="1"/>
    <n v="34"/>
    <x v="1"/>
  </r>
  <r>
    <d v="2020-05-09T00:00:00"/>
    <x v="2"/>
    <n v="13216.5"/>
    <x v="154"/>
    <n v="10"/>
    <n v="644"/>
    <n v="559"/>
    <n v="104640"/>
    <x v="1"/>
    <n v="58"/>
    <x v="1"/>
  </r>
  <r>
    <d v="2020-05-09T00:00:00"/>
    <x v="3"/>
    <n v="32079"/>
    <x v="155"/>
    <n v="19"/>
    <n v="1851"/>
    <n v="1635"/>
    <n v="152745.63157894736"/>
    <x v="1"/>
    <n v="88"/>
    <x v="1"/>
  </r>
  <r>
    <d v="2020-05-09T00:00:00"/>
    <x v="4"/>
    <n v="285972"/>
    <x v="156"/>
    <n v="129"/>
    <n v="16420"/>
    <n v="15169"/>
    <n v="230761.23255813954"/>
    <x v="1"/>
    <n v="115"/>
    <x v="1"/>
  </r>
  <r>
    <d v="2020-05-09T00:00:00"/>
    <x v="5"/>
    <n v="359214"/>
    <x v="157"/>
    <n v="125"/>
    <n v="20132"/>
    <n v="18617"/>
    <n v="309547.41600000003"/>
    <x v="1"/>
    <n v="139"/>
    <x v="1"/>
  </r>
  <r>
    <d v="2020-05-09T00:00:00"/>
    <x v="6"/>
    <n v="83373"/>
    <x v="158"/>
    <n v="36"/>
    <n v="5413"/>
    <n v="4959"/>
    <n v="201484.08333333334"/>
    <x v="1"/>
    <n v="166"/>
    <x v="1"/>
  </r>
  <r>
    <d v="2020-05-09T00:00:00"/>
    <x v="7"/>
    <n v="32239.5"/>
    <x v="159"/>
    <n v="21"/>
    <n v="1891"/>
    <n v="1709"/>
    <n v="146899.64285714287"/>
    <x v="1"/>
    <n v="193"/>
    <x v="1"/>
  </r>
  <r>
    <d v="2020-05-09T00:00:00"/>
    <x v="8"/>
    <n v="13948.5"/>
    <x v="160"/>
    <n v="15"/>
    <n v="849"/>
    <n v="740"/>
    <n v="81528.800000000003"/>
    <x v="1"/>
    <n v="223"/>
    <x v="1"/>
  </r>
  <r>
    <d v="2020-05-09T00:00:00"/>
    <x v="13"/>
    <n v="12037.5"/>
    <x v="161"/>
    <n v="15"/>
    <n v="623"/>
    <n v="535"/>
    <n v="72081.100000000006"/>
    <x v="1"/>
    <n v="247"/>
    <x v="1"/>
  </r>
  <r>
    <d v="2020-05-09T00:00:00"/>
    <x v="9"/>
    <n v="26271"/>
    <x v="162"/>
    <n v="19"/>
    <n v="1542"/>
    <n v="1412"/>
    <n v="125523"/>
    <x v="1"/>
    <n v="274"/>
    <x v="1"/>
  </r>
  <r>
    <d v="2020-05-09T00:00:00"/>
    <x v="10"/>
    <n v="188319"/>
    <x v="163"/>
    <n v="59"/>
    <n v="12016"/>
    <n v="11137"/>
    <n v="325739.51694915252"/>
    <x v="1"/>
    <n v="304"/>
    <x v="1"/>
  </r>
  <r>
    <d v="2020-05-09T00:00:00"/>
    <x v="11"/>
    <n v="177976.5"/>
    <x v="164"/>
    <n v="54"/>
    <n v="11288"/>
    <n v="10492"/>
    <n v="334922.19444444444"/>
    <x v="1"/>
    <n v="328"/>
    <x v="1"/>
  </r>
  <r>
    <d v="2020-05-09T00:00:00"/>
    <x v="12"/>
    <n v="11745"/>
    <x v="165"/>
    <n v="15"/>
    <n v="654"/>
    <n v="570"/>
    <n v="63720.1"/>
    <x v="1"/>
    <n v="358"/>
    <x v="1"/>
  </r>
  <r>
    <d v="2020-05-10T00:00:00"/>
    <x v="0"/>
    <n v="36619.5"/>
    <x v="166"/>
    <n v="21"/>
    <n v="2016"/>
    <n v="1846"/>
    <n v="157760.35714285713"/>
    <x v="1"/>
    <n v="24"/>
    <x v="1"/>
  </r>
  <r>
    <d v="2020-05-10T00:00:00"/>
    <x v="1"/>
    <n v="84132"/>
    <x v="167"/>
    <n v="31"/>
    <n v="5495"/>
    <n v="5093"/>
    <n v="241393.35483870967"/>
    <x v="1"/>
    <n v="51"/>
    <x v="1"/>
  </r>
  <r>
    <d v="2020-05-10T00:00:00"/>
    <x v="2"/>
    <n v="12918"/>
    <x v="168"/>
    <n v="10"/>
    <n v="642"/>
    <n v="556"/>
    <n v="100478.85"/>
    <x v="1"/>
    <n v="78"/>
    <x v="1"/>
  </r>
  <r>
    <d v="2020-05-10T00:00:00"/>
    <x v="3"/>
    <n v="31399.5"/>
    <x v="169"/>
    <n v="19"/>
    <n v="1848"/>
    <n v="1649"/>
    <n v="150647.28947368421"/>
    <x v="1"/>
    <n v="105"/>
    <x v="1"/>
  </r>
  <r>
    <d v="2020-05-10T00:00:00"/>
    <x v="4"/>
    <n v="287206.5"/>
    <x v="170"/>
    <n v="129"/>
    <n v="16437"/>
    <n v="15285"/>
    <n v="228962.6054732558"/>
    <x v="1"/>
    <n v="132"/>
    <x v="1"/>
  </r>
  <r>
    <d v="2020-05-10T00:00:00"/>
    <x v="5"/>
    <n v="368649"/>
    <x v="171"/>
    <n v="125"/>
    <n v="20368"/>
    <n v="18884"/>
    <n v="312087"/>
    <x v="1"/>
    <n v="159"/>
    <x v="1"/>
  </r>
  <r>
    <d v="2020-05-10T00:00:00"/>
    <x v="6"/>
    <n v="88311"/>
    <x v="172"/>
    <n v="36"/>
    <n v="5746"/>
    <n v="5277"/>
    <n v="214613.04166666666"/>
    <x v="1"/>
    <n v="186"/>
    <x v="1"/>
  </r>
  <r>
    <d v="2020-05-10T00:00:00"/>
    <x v="7"/>
    <n v="37489.5"/>
    <x v="173"/>
    <n v="21"/>
    <n v="2120"/>
    <n v="1921"/>
    <n v="169004.64285714287"/>
    <x v="1"/>
    <n v="213"/>
    <x v="1"/>
  </r>
  <r>
    <d v="2020-05-10T00:00:00"/>
    <x v="8"/>
    <n v="16435.5"/>
    <x v="174"/>
    <n v="15"/>
    <n v="950"/>
    <n v="848"/>
    <n v="98102.5"/>
    <x v="1"/>
    <n v="240"/>
    <x v="1"/>
  </r>
  <r>
    <d v="2020-05-10T00:00:00"/>
    <x v="13"/>
    <n v="13440"/>
    <x v="175"/>
    <n v="15"/>
    <n v="706"/>
    <n v="608"/>
    <n v="79885.7"/>
    <x v="1"/>
    <n v="267"/>
    <x v="1"/>
  </r>
  <r>
    <d v="2020-05-10T00:00:00"/>
    <x v="9"/>
    <n v="31224"/>
    <x v="176"/>
    <n v="19"/>
    <n v="1836"/>
    <n v="1680"/>
    <n v="145645.81578947368"/>
    <x v="1"/>
    <n v="292"/>
    <x v="1"/>
  </r>
  <r>
    <d v="2020-05-10T00:00:00"/>
    <x v="10"/>
    <n v="243825"/>
    <x v="177"/>
    <n v="59"/>
    <n v="14569"/>
    <n v="13566"/>
    <n v="421871.26271186443"/>
    <x v="1"/>
    <n v="321"/>
    <x v="1"/>
  </r>
  <r>
    <d v="2020-05-10T00:00:00"/>
    <x v="11"/>
    <n v="231559.5"/>
    <x v="178"/>
    <n v="54"/>
    <n v="13832"/>
    <n v="12864"/>
    <n v="434143.05555555556"/>
    <x v="1"/>
    <n v="346"/>
    <x v="1"/>
  </r>
  <r>
    <d v="2020-05-10T00:00:00"/>
    <x v="12"/>
    <n v="14566.5"/>
    <x v="179"/>
    <n v="15"/>
    <n v="792"/>
    <n v="695"/>
    <n v="81103.8"/>
    <x v="1"/>
    <n v="373"/>
    <x v="1"/>
  </r>
  <r>
    <d v="2020-05-11T00:00:00"/>
    <x v="0"/>
    <n v="27187.5"/>
    <x v="180"/>
    <n v="21"/>
    <n v="1597"/>
    <n v="1457"/>
    <n v="118066.5"/>
    <x v="2"/>
    <n v="386"/>
    <x v="2"/>
  </r>
  <r>
    <d v="2020-05-11T00:00:00"/>
    <x v="1"/>
    <n v="72220.5"/>
    <x v="181"/>
    <n v="31"/>
    <n v="4826"/>
    <n v="4483"/>
    <n v="206410.30645161291"/>
    <x v="2"/>
    <n v="399"/>
    <x v="2"/>
  </r>
  <r>
    <d v="2020-05-11T00:00:00"/>
    <x v="2"/>
    <n v="9007.5"/>
    <x v="182"/>
    <n v="10"/>
    <n v="494"/>
    <n v="421"/>
    <n v="73433.55"/>
    <x v="2"/>
    <n v="406"/>
    <x v="2"/>
  </r>
  <r>
    <d v="2020-05-11T00:00:00"/>
    <x v="3"/>
    <n v="42397.5"/>
    <x v="183"/>
    <n v="19"/>
    <n v="2530"/>
    <n v="2270"/>
    <n v="205893.63157894736"/>
    <x v="2"/>
    <n v="415"/>
    <x v="2"/>
  </r>
  <r>
    <d v="2020-05-11T00:00:00"/>
    <x v="4"/>
    <n v="237099"/>
    <x v="184"/>
    <n v="129"/>
    <n v="14043"/>
    <n v="13167"/>
    <n v="190916.53661976743"/>
    <x v="2"/>
    <n v="423"/>
    <x v="2"/>
  </r>
  <r>
    <d v="2020-05-11T00:00:00"/>
    <x v="5"/>
    <n v="318565.5"/>
    <x v="185"/>
    <n v="125"/>
    <n v="18066"/>
    <n v="16883"/>
    <n v="270252.64799999999"/>
    <x v="2"/>
    <n v="430"/>
    <x v="2"/>
  </r>
  <r>
    <d v="2020-05-11T00:00:00"/>
    <x v="6"/>
    <n v="59574"/>
    <x v="186"/>
    <n v="36"/>
    <n v="4150"/>
    <n v="3838"/>
    <n v="143838.04166666666"/>
    <x v="2"/>
    <n v="438"/>
    <x v="2"/>
  </r>
  <r>
    <d v="2020-05-11T00:00:00"/>
    <x v="7"/>
    <n v="32733"/>
    <x v="187"/>
    <n v="21"/>
    <n v="1916"/>
    <n v="1733"/>
    <n v="146649.07142857142"/>
    <x v="2"/>
    <n v="446"/>
    <x v="2"/>
  </r>
  <r>
    <d v="2020-05-11T00:00:00"/>
    <x v="8"/>
    <n v="12238.5"/>
    <x v="188"/>
    <n v="15"/>
    <n v="812"/>
    <n v="714"/>
    <n v="73066.8"/>
    <x v="2"/>
    <n v="455"/>
    <x v="2"/>
  </r>
  <r>
    <d v="2020-05-11T00:00:00"/>
    <x v="13"/>
    <n v="12654"/>
    <x v="189"/>
    <n v="15"/>
    <n v="684"/>
    <n v="585"/>
    <n v="72077.2"/>
    <x v="2"/>
    <n v="462"/>
    <x v="2"/>
  </r>
  <r>
    <d v="2020-05-11T00:00:00"/>
    <x v="9"/>
    <n v="23629.5"/>
    <x v="190"/>
    <n v="19"/>
    <n v="1527"/>
    <n v="1389"/>
    <n v="113913.94736842105"/>
    <x v="2"/>
    <n v="470"/>
    <x v="2"/>
  </r>
  <r>
    <d v="2020-05-11T00:00:00"/>
    <x v="10"/>
    <n v="175293"/>
    <x v="191"/>
    <n v="60"/>
    <n v="11100"/>
    <n v="10407"/>
    <n v="298652.40000000002"/>
    <x v="2"/>
    <n v="479"/>
    <x v="2"/>
  </r>
  <r>
    <d v="2020-05-11T00:00:00"/>
    <x v="11"/>
    <n v="166948.5"/>
    <x v="192"/>
    <n v="54"/>
    <n v="10570"/>
    <n v="9926"/>
    <n v="314282.05555555556"/>
    <x v="2"/>
    <n v="486"/>
    <x v="2"/>
  </r>
  <r>
    <d v="2020-05-11T00:00:00"/>
    <x v="12"/>
    <n v="10941"/>
    <x v="193"/>
    <n v="15"/>
    <n v="654"/>
    <n v="564"/>
    <n v="58690.400000000001"/>
    <x v="2"/>
    <n v="495"/>
    <x v="2"/>
  </r>
  <r>
    <d v="2020-05-12T00:00:00"/>
    <x v="0"/>
    <n v="28219.5"/>
    <x v="194"/>
    <n v="21"/>
    <n v="1656"/>
    <n v="1516"/>
    <n v="123608.5"/>
    <x v="2"/>
    <n v="13"/>
    <x v="2"/>
  </r>
  <r>
    <d v="2020-05-12T00:00:00"/>
    <x v="1"/>
    <n v="71520"/>
    <x v="195"/>
    <n v="31"/>
    <n v="4800"/>
    <n v="4470"/>
    <n v="206398.74193548388"/>
    <x v="2"/>
    <n v="40"/>
    <x v="2"/>
  </r>
  <r>
    <d v="2020-05-12T00:00:00"/>
    <x v="2"/>
    <n v="9328.5"/>
    <x v="196"/>
    <n v="10"/>
    <n v="526"/>
    <n v="448"/>
    <n v="73296.45"/>
    <x v="2"/>
    <n v="64"/>
    <x v="2"/>
  </r>
  <r>
    <d v="2020-05-12T00:00:00"/>
    <x v="3"/>
    <n v="26032.5"/>
    <x v="197"/>
    <n v="19"/>
    <n v="1649"/>
    <n v="1460"/>
    <n v="124759.57894736843"/>
    <x v="2"/>
    <n v="94"/>
    <x v="2"/>
  </r>
  <r>
    <d v="2020-05-12T00:00:00"/>
    <x v="4"/>
    <n v="281796"/>
    <x v="198"/>
    <n v="129"/>
    <n v="16387"/>
    <n v="15322"/>
    <n v="225135.81395348837"/>
    <x v="2"/>
    <n v="121"/>
    <x v="2"/>
  </r>
  <r>
    <d v="2020-05-12T00:00:00"/>
    <x v="5"/>
    <n v="373392"/>
    <x v="199"/>
    <n v="125"/>
    <n v="21106"/>
    <n v="19651"/>
    <n v="316628.61599999998"/>
    <x v="2"/>
    <n v="145"/>
    <x v="2"/>
  </r>
  <r>
    <d v="2020-05-12T00:00:00"/>
    <x v="6"/>
    <n v="64390.5"/>
    <x v="200"/>
    <n v="36"/>
    <n v="4418"/>
    <n v="4088"/>
    <n v="153420.70833333334"/>
    <x v="2"/>
    <n v="172"/>
    <x v="2"/>
  </r>
  <r>
    <d v="2020-05-12T00:00:00"/>
    <x v="7"/>
    <n v="32419.5"/>
    <x v="201"/>
    <n v="21"/>
    <n v="1926"/>
    <n v="1745"/>
    <n v="146695.92857142858"/>
    <x v="2"/>
    <n v="199"/>
    <x v="2"/>
  </r>
  <r>
    <d v="2020-05-12T00:00:00"/>
    <x v="8"/>
    <n v="12802.5"/>
    <x v="202"/>
    <n v="15"/>
    <n v="845"/>
    <n v="743"/>
    <n v="74922"/>
    <x v="2"/>
    <n v="229"/>
    <x v="2"/>
  </r>
  <r>
    <d v="2020-05-12T00:00:00"/>
    <x v="13"/>
    <n v="11296.5"/>
    <x v="203"/>
    <n v="15"/>
    <n v="624"/>
    <n v="538"/>
    <n v="65975.5"/>
    <x v="2"/>
    <n v="253"/>
    <x v="2"/>
  </r>
  <r>
    <d v="2020-05-12T00:00:00"/>
    <x v="9"/>
    <n v="25483.5"/>
    <x v="204"/>
    <n v="19"/>
    <n v="1598"/>
    <n v="1454"/>
    <n v="118061.05263157895"/>
    <x v="2"/>
    <n v="279"/>
    <x v="2"/>
  </r>
  <r>
    <d v="2020-05-12T00:00:00"/>
    <x v="10"/>
    <n v="192886.5"/>
    <x v="205"/>
    <n v="60"/>
    <n v="12000"/>
    <n v="11194"/>
    <n v="320086.32500000001"/>
    <x v="2"/>
    <n v="310"/>
    <x v="2"/>
  </r>
  <r>
    <d v="2020-05-12T00:00:00"/>
    <x v="11"/>
    <n v="189679.5"/>
    <x v="206"/>
    <n v="54"/>
    <n v="11614"/>
    <n v="10862"/>
    <n v="346630.30555555556"/>
    <x v="2"/>
    <n v="333"/>
    <x v="2"/>
  </r>
  <r>
    <d v="2020-05-12T00:00:00"/>
    <x v="12"/>
    <n v="13443"/>
    <x v="207"/>
    <n v="15"/>
    <n v="750"/>
    <n v="659"/>
    <n v="72818.5"/>
    <x v="2"/>
    <n v="363"/>
    <x v="2"/>
  </r>
  <r>
    <d v="2020-05-13T00:00:00"/>
    <x v="0"/>
    <n v="29241"/>
    <x v="208"/>
    <n v="21"/>
    <n v="1698"/>
    <n v="1554"/>
    <n v="125227.71428571429"/>
    <x v="2"/>
    <n v="18"/>
    <x v="2"/>
  </r>
  <r>
    <d v="2020-05-13T00:00:00"/>
    <x v="1"/>
    <n v="78846"/>
    <x v="209"/>
    <n v="31"/>
    <n v="5251"/>
    <n v="4853"/>
    <n v="225611.37096774194"/>
    <x v="2"/>
    <n v="45"/>
    <x v="2"/>
  </r>
  <r>
    <d v="2020-05-13T00:00:00"/>
    <x v="2"/>
    <n v="11202"/>
    <x v="210"/>
    <n v="10"/>
    <n v="612"/>
    <n v="530"/>
    <n v="86571.45"/>
    <x v="2"/>
    <n v="69"/>
    <x v="2"/>
  </r>
  <r>
    <d v="2020-05-13T00:00:00"/>
    <x v="3"/>
    <n v="26464.5"/>
    <x v="211"/>
    <n v="19"/>
    <n v="1625"/>
    <n v="1444"/>
    <n v="124912.5"/>
    <x v="2"/>
    <n v="99"/>
    <x v="2"/>
  </r>
  <r>
    <d v="2020-05-13T00:00:00"/>
    <x v="4"/>
    <n v="258459"/>
    <x v="212"/>
    <n v="129"/>
    <n v="15304"/>
    <n v="14315"/>
    <n v="205174.05813953487"/>
    <x v="2"/>
    <n v="126"/>
    <x v="2"/>
  </r>
  <r>
    <d v="2020-05-13T00:00:00"/>
    <x v="5"/>
    <n v="350068.5"/>
    <x v="213"/>
    <n v="125"/>
    <n v="19965"/>
    <n v="18573"/>
    <n v="297576.924"/>
    <x v="2"/>
    <n v="150"/>
    <x v="2"/>
  </r>
  <r>
    <d v="2020-05-13T00:00:00"/>
    <x v="6"/>
    <n v="73062"/>
    <x v="214"/>
    <n v="36"/>
    <n v="4967"/>
    <n v="4583"/>
    <n v="175939.66666666666"/>
    <x v="2"/>
    <n v="177"/>
    <x v="2"/>
  </r>
  <r>
    <d v="2020-05-13T00:00:00"/>
    <x v="7"/>
    <n v="35535"/>
    <x v="215"/>
    <n v="21"/>
    <n v="2061"/>
    <n v="1876"/>
    <n v="156574.71428571429"/>
    <x v="2"/>
    <n v="204"/>
    <x v="2"/>
  </r>
  <r>
    <d v="2020-05-13T00:00:00"/>
    <x v="8"/>
    <n v="14305.5"/>
    <x v="216"/>
    <n v="15"/>
    <n v="898"/>
    <n v="795"/>
    <n v="82900.5"/>
    <x v="2"/>
    <n v="234"/>
    <x v="2"/>
  </r>
  <r>
    <d v="2020-05-13T00:00:00"/>
    <x v="13"/>
    <n v="10401"/>
    <x v="217"/>
    <n v="15"/>
    <n v="599"/>
    <n v="515"/>
    <n v="63327.5"/>
    <x v="2"/>
    <n v="258"/>
    <x v="2"/>
  </r>
  <r>
    <d v="2020-05-13T00:00:00"/>
    <x v="9"/>
    <n v="25539"/>
    <x v="218"/>
    <n v="19"/>
    <n v="1605"/>
    <n v="1447"/>
    <n v="119139.55263157895"/>
    <x v="2"/>
    <n v="283"/>
    <x v="2"/>
  </r>
  <r>
    <d v="2020-05-13T00:00:00"/>
    <x v="10"/>
    <n v="193722"/>
    <x v="219"/>
    <n v="60"/>
    <n v="12007"/>
    <n v="11245"/>
    <n v="323954.55"/>
    <x v="2"/>
    <n v="315"/>
    <x v="2"/>
  </r>
  <r>
    <d v="2020-05-13T00:00:00"/>
    <x v="11"/>
    <n v="188662.5"/>
    <x v="220"/>
    <n v="54"/>
    <n v="11522"/>
    <n v="10803"/>
    <n v="347851.86111111112"/>
    <x v="2"/>
    <n v="337"/>
    <x v="2"/>
  </r>
  <r>
    <d v="2020-05-13T00:00:00"/>
    <x v="12"/>
    <n v="14643"/>
    <x v="221"/>
    <n v="15"/>
    <n v="854"/>
    <n v="756"/>
    <n v="78179.399999999994"/>
    <x v="2"/>
    <n v="367"/>
    <x v="2"/>
  </r>
  <r>
    <d v="2020-05-14T00:00:00"/>
    <x v="0"/>
    <n v="29658"/>
    <x v="222"/>
    <n v="21"/>
    <n v="1706"/>
    <n v="1548"/>
    <n v="128720.57142857143"/>
    <x v="2"/>
    <n v="390"/>
    <x v="2"/>
  </r>
  <r>
    <d v="2020-05-14T00:00:00"/>
    <x v="1"/>
    <n v="70498.5"/>
    <x v="223"/>
    <n v="31"/>
    <n v="4695"/>
    <n v="4372"/>
    <n v="195279"/>
    <x v="2"/>
    <n v="401"/>
    <x v="2"/>
  </r>
  <r>
    <d v="2020-05-14T00:00:00"/>
    <x v="2"/>
    <n v="12037.5"/>
    <x v="224"/>
    <n v="10"/>
    <n v="627"/>
    <n v="545"/>
    <n v="98156.4"/>
    <x v="2"/>
    <n v="409"/>
    <x v="2"/>
  </r>
  <r>
    <d v="2020-05-14T00:00:00"/>
    <x v="3"/>
    <n v="27411"/>
    <x v="225"/>
    <n v="19"/>
    <n v="1675"/>
    <n v="1475"/>
    <n v="128501.05263157895"/>
    <x v="2"/>
    <n v="417"/>
    <x v="2"/>
  </r>
  <r>
    <d v="2020-05-14T00:00:00"/>
    <x v="4"/>
    <n v="274059"/>
    <x v="226"/>
    <n v="129"/>
    <n v="15804"/>
    <n v="14738"/>
    <n v="218459.62790697673"/>
    <x v="2"/>
    <n v="425"/>
    <x v="2"/>
  </r>
  <r>
    <d v="2020-05-14T00:00:00"/>
    <x v="5"/>
    <n v="358387.5"/>
    <x v="227"/>
    <n v="125"/>
    <n v="20247"/>
    <n v="18812"/>
    <n v="303705.20400000003"/>
    <x v="2"/>
    <n v="433"/>
    <x v="2"/>
  </r>
  <r>
    <d v="2020-05-14T00:00:00"/>
    <x v="6"/>
    <n v="63645"/>
    <x v="228"/>
    <n v="36"/>
    <n v="4285"/>
    <n v="3950"/>
    <n v="149072.29166666666"/>
    <x v="2"/>
    <n v="441"/>
    <x v="2"/>
  </r>
  <r>
    <d v="2020-05-14T00:00:00"/>
    <x v="7"/>
    <n v="33886.5"/>
    <x v="229"/>
    <n v="21"/>
    <n v="1993"/>
    <n v="1796"/>
    <n v="150784.71428571429"/>
    <x v="2"/>
    <n v="449"/>
    <x v="2"/>
  </r>
  <r>
    <d v="2020-05-14T00:00:00"/>
    <x v="8"/>
    <n v="14385"/>
    <x v="230"/>
    <n v="15"/>
    <n v="890"/>
    <n v="777"/>
    <n v="81566.100000000006"/>
    <x v="2"/>
    <n v="457"/>
    <x v="2"/>
  </r>
  <r>
    <d v="2020-05-14T00:00:00"/>
    <x v="13"/>
    <n v="11161.5"/>
    <x v="231"/>
    <n v="15"/>
    <n v="638"/>
    <n v="548"/>
    <n v="64233.5"/>
    <x v="2"/>
    <n v="465"/>
    <x v="2"/>
  </r>
  <r>
    <d v="2020-05-14T00:00:00"/>
    <x v="9"/>
    <n v="25656"/>
    <x v="232"/>
    <n v="19"/>
    <n v="1635"/>
    <n v="1487"/>
    <n v="117123.23684210527"/>
    <x v="2"/>
    <n v="473"/>
    <x v="2"/>
  </r>
  <r>
    <d v="2020-05-14T00:00:00"/>
    <x v="10"/>
    <n v="197946"/>
    <x v="233"/>
    <n v="60"/>
    <n v="11935"/>
    <n v="11178"/>
    <n v="332373.92499999999"/>
    <x v="2"/>
    <n v="481"/>
    <x v="2"/>
  </r>
  <r>
    <d v="2020-05-14T00:00:00"/>
    <x v="11"/>
    <n v="186496.5"/>
    <x v="234"/>
    <n v="54"/>
    <n v="11194"/>
    <n v="10554"/>
    <n v="345203.66666666669"/>
    <x v="2"/>
    <n v="489"/>
    <x v="2"/>
  </r>
  <r>
    <d v="2020-05-14T00:00:00"/>
    <x v="12"/>
    <n v="13810.5"/>
    <x v="235"/>
    <n v="16"/>
    <n v="834"/>
    <n v="735"/>
    <n v="70729.78125"/>
    <x v="2"/>
    <n v="497"/>
    <x v="2"/>
  </r>
  <r>
    <d v="2020-05-15T00:00:00"/>
    <x v="0"/>
    <n v="34150.5"/>
    <x v="236"/>
    <n v="21"/>
    <n v="1926"/>
    <n v="1742"/>
    <n v="144680.64285714287"/>
    <x v="2"/>
    <n v="391"/>
    <x v="2"/>
  </r>
  <r>
    <d v="2020-05-15T00:00:00"/>
    <x v="1"/>
    <n v="78961.5"/>
    <x v="237"/>
    <n v="31"/>
    <n v="5184"/>
    <n v="4778"/>
    <n v="221821.11290322582"/>
    <x v="2"/>
    <n v="402"/>
    <x v="2"/>
  </r>
  <r>
    <d v="2020-05-15T00:00:00"/>
    <x v="2"/>
    <n v="14421"/>
    <x v="238"/>
    <n v="10"/>
    <n v="743"/>
    <n v="652"/>
    <n v="115057.95"/>
    <x v="2"/>
    <n v="410"/>
    <x v="2"/>
  </r>
  <r>
    <d v="2020-05-15T00:00:00"/>
    <x v="3"/>
    <n v="32854.5"/>
    <x v="239"/>
    <n v="19"/>
    <n v="1940"/>
    <n v="1715"/>
    <n v="155214.63157894736"/>
    <x v="2"/>
    <n v="418"/>
    <x v="2"/>
  </r>
  <r>
    <d v="2020-05-15T00:00:00"/>
    <x v="4"/>
    <n v="318816"/>
    <x v="240"/>
    <n v="129"/>
    <n v="17808"/>
    <n v="16486"/>
    <n v="250808.76744186046"/>
    <x v="2"/>
    <n v="426"/>
    <x v="2"/>
  </r>
  <r>
    <d v="2020-05-15T00:00:00"/>
    <x v="5"/>
    <n v="403261.5"/>
    <x v="241"/>
    <n v="125"/>
    <n v="21862"/>
    <n v="20235"/>
    <n v="338171.016"/>
    <x v="2"/>
    <n v="434"/>
    <x v="2"/>
  </r>
  <r>
    <d v="2020-05-15T00:00:00"/>
    <x v="6"/>
    <n v="75642"/>
    <x v="242"/>
    <n v="36"/>
    <n v="4862"/>
    <n v="4476"/>
    <n v="174832"/>
    <x v="2"/>
    <n v="442"/>
    <x v="2"/>
  </r>
  <r>
    <d v="2020-05-15T00:00:00"/>
    <x v="7"/>
    <n v="41697"/>
    <x v="243"/>
    <n v="21"/>
    <n v="2255"/>
    <n v="2045"/>
    <n v="179631.35714285713"/>
    <x v="2"/>
    <n v="450"/>
    <x v="2"/>
  </r>
  <r>
    <d v="2020-05-15T00:00:00"/>
    <x v="8"/>
    <n v="16498.5"/>
    <x v="244"/>
    <n v="15"/>
    <n v="980"/>
    <n v="867"/>
    <n v="91365.5"/>
    <x v="2"/>
    <n v="458"/>
    <x v="2"/>
  </r>
  <r>
    <d v="2020-05-15T00:00:00"/>
    <x v="13"/>
    <n v="12229.5"/>
    <x v="245"/>
    <n v="15"/>
    <n v="688"/>
    <n v="598"/>
    <n v="74848.7"/>
    <x v="2"/>
    <n v="466"/>
    <x v="2"/>
  </r>
  <r>
    <d v="2020-05-15T00:00:00"/>
    <x v="9"/>
    <n v="29283"/>
    <x v="246"/>
    <n v="19"/>
    <n v="1780"/>
    <n v="1615"/>
    <n v="130394.05263157895"/>
    <x v="2"/>
    <n v="474"/>
    <x v="2"/>
  </r>
  <r>
    <d v="2020-05-15T00:00:00"/>
    <x v="10"/>
    <n v="230896.5"/>
    <x v="247"/>
    <n v="60"/>
    <n v="13544"/>
    <n v="12643"/>
    <n v="384753.7"/>
    <x v="2"/>
    <n v="482"/>
    <x v="2"/>
  </r>
  <r>
    <d v="2020-05-15T00:00:00"/>
    <x v="11"/>
    <n v="219772.5"/>
    <x v="248"/>
    <n v="54"/>
    <n v="12791"/>
    <n v="11950"/>
    <n v="405468.41666666669"/>
    <x v="2"/>
    <n v="490"/>
    <x v="2"/>
  </r>
  <r>
    <d v="2020-05-15T00:00:00"/>
    <x v="12"/>
    <n v="13752"/>
    <x v="249"/>
    <n v="16"/>
    <n v="817"/>
    <n v="718"/>
    <n v="68190"/>
    <x v="2"/>
    <n v="498"/>
    <x v="2"/>
  </r>
  <r>
    <d v="2020-05-16T00:00:00"/>
    <x v="0"/>
    <n v="38947.5"/>
    <x v="250"/>
    <n v="21"/>
    <n v="2145"/>
    <n v="1947"/>
    <n v="161709.14285714287"/>
    <x v="2"/>
    <n v="4"/>
    <x v="2"/>
  </r>
  <r>
    <d v="2020-05-16T00:00:00"/>
    <x v="1"/>
    <n v="88063.5"/>
    <x v="251"/>
    <n v="31"/>
    <n v="5593"/>
    <n v="5177"/>
    <n v="244637.37096774194"/>
    <x v="2"/>
    <n v="31"/>
    <x v="2"/>
  </r>
  <r>
    <d v="2020-05-16T00:00:00"/>
    <x v="2"/>
    <n v="14265"/>
    <x v="252"/>
    <n v="10"/>
    <n v="760"/>
    <n v="672"/>
    <n v="113050.65"/>
    <x v="2"/>
    <n v="55"/>
    <x v="2"/>
  </r>
  <r>
    <d v="2020-05-16T00:00:00"/>
    <x v="3"/>
    <n v="35482.5"/>
    <x v="253"/>
    <n v="19"/>
    <n v="2080"/>
    <n v="1844"/>
    <n v="169606.18421052632"/>
    <x v="2"/>
    <n v="85"/>
    <x v="2"/>
  </r>
  <r>
    <d v="2020-05-16T00:00:00"/>
    <x v="4"/>
    <n v="321412.5"/>
    <x v="254"/>
    <n v="129"/>
    <n v="17914"/>
    <n v="16631"/>
    <n v="249890.41860465117"/>
    <x v="2"/>
    <n v="112"/>
    <x v="2"/>
  </r>
  <r>
    <d v="2020-05-16T00:00:00"/>
    <x v="5"/>
    <n v="408810"/>
    <x v="255"/>
    <n v="125"/>
    <n v="22291"/>
    <n v="20635"/>
    <n v="338589.04800000001"/>
    <x v="2"/>
    <n v="136"/>
    <x v="2"/>
  </r>
  <r>
    <d v="2020-05-16T00:00:00"/>
    <x v="6"/>
    <n v="81331.5"/>
    <x v="256"/>
    <n v="36"/>
    <n v="5286"/>
    <n v="4867"/>
    <n v="184782.75"/>
    <x v="2"/>
    <n v="163"/>
    <x v="2"/>
  </r>
  <r>
    <d v="2020-05-16T00:00:00"/>
    <x v="7"/>
    <n v="44560.5"/>
    <x v="257"/>
    <n v="21"/>
    <n v="2427"/>
    <n v="2213"/>
    <n v="191673.71428571429"/>
    <x v="2"/>
    <n v="190"/>
    <x v="2"/>
  </r>
  <r>
    <d v="2020-05-16T00:00:00"/>
    <x v="8"/>
    <n v="18600"/>
    <x v="258"/>
    <n v="15"/>
    <n v="1111"/>
    <n v="992"/>
    <n v="106761.7"/>
    <x v="2"/>
    <n v="220"/>
    <x v="2"/>
  </r>
  <r>
    <d v="2020-05-16T00:00:00"/>
    <x v="13"/>
    <n v="13120.5"/>
    <x v="259"/>
    <n v="15"/>
    <n v="747"/>
    <n v="647"/>
    <n v="81002.2"/>
    <x v="2"/>
    <n v="244"/>
    <x v="2"/>
  </r>
  <r>
    <d v="2020-05-16T00:00:00"/>
    <x v="9"/>
    <n v="34563"/>
    <x v="260"/>
    <n v="19"/>
    <n v="2039"/>
    <n v="1868"/>
    <n v="153835.97368421053"/>
    <x v="2"/>
    <n v="271"/>
    <x v="2"/>
  </r>
  <r>
    <d v="2020-05-16T00:00:00"/>
    <x v="10"/>
    <n v="236551.5"/>
    <x v="261"/>
    <n v="60"/>
    <n v="14049"/>
    <n v="13118"/>
    <n v="394823.05"/>
    <x v="2"/>
    <n v="301"/>
    <x v="2"/>
  </r>
  <r>
    <d v="2020-05-16T00:00:00"/>
    <x v="11"/>
    <n v="225480"/>
    <x v="262"/>
    <n v="54"/>
    <n v="13170"/>
    <n v="12299"/>
    <n v="413987.75"/>
    <x v="2"/>
    <n v="325"/>
    <x v="2"/>
  </r>
  <r>
    <d v="2020-05-16T00:00:00"/>
    <x v="12"/>
    <n v="16368"/>
    <x v="263"/>
    <n v="16"/>
    <n v="920"/>
    <n v="818"/>
    <n v="82271.90625"/>
    <x v="2"/>
    <n v="355"/>
    <x v="2"/>
  </r>
  <r>
    <d v="2020-05-17T00:00:00"/>
    <x v="0"/>
    <n v="32023.5"/>
    <x v="264"/>
    <n v="21"/>
    <n v="1874"/>
    <n v="1705"/>
    <n v="137259.92857142858"/>
    <x v="2"/>
    <n v="6"/>
    <x v="2"/>
  </r>
  <r>
    <d v="2020-05-17T00:00:00"/>
    <x v="1"/>
    <n v="78057"/>
    <x v="265"/>
    <n v="31"/>
    <n v="5206"/>
    <n v="4843"/>
    <n v="218546.66129032258"/>
    <x v="2"/>
    <n v="33"/>
    <x v="2"/>
  </r>
  <r>
    <d v="2020-05-17T00:00:00"/>
    <x v="2"/>
    <n v="10402.5"/>
    <x v="266"/>
    <n v="10"/>
    <n v="591"/>
    <n v="513"/>
    <n v="84372.75"/>
    <x v="2"/>
    <n v="57"/>
    <x v="2"/>
  </r>
  <r>
    <d v="2020-05-17T00:00:00"/>
    <x v="3"/>
    <n v="30486"/>
    <x v="267"/>
    <n v="19"/>
    <n v="1871"/>
    <n v="1660"/>
    <n v="141804.71052631579"/>
    <x v="2"/>
    <n v="87"/>
    <x v="2"/>
  </r>
  <r>
    <d v="2020-05-17T00:00:00"/>
    <x v="4"/>
    <n v="269029.5"/>
    <x v="268"/>
    <n v="129"/>
    <n v="15744"/>
    <n v="14685"/>
    <n v="206666.12790697673"/>
    <x v="2"/>
    <n v="114"/>
    <x v="2"/>
  </r>
  <r>
    <d v="2020-05-17T00:00:00"/>
    <x v="5"/>
    <n v="357072"/>
    <x v="269"/>
    <n v="125"/>
    <n v="20079"/>
    <n v="18721"/>
    <n v="294676.53600000002"/>
    <x v="2"/>
    <n v="138"/>
    <x v="2"/>
  </r>
  <r>
    <d v="2020-05-17T00:00:00"/>
    <x v="6"/>
    <n v="72861"/>
    <x v="270"/>
    <n v="36"/>
    <n v="4918"/>
    <n v="4554"/>
    <n v="165355.625"/>
    <x v="2"/>
    <n v="165"/>
    <x v="2"/>
  </r>
  <r>
    <d v="2020-05-17T00:00:00"/>
    <x v="7"/>
    <n v="34830"/>
    <x v="271"/>
    <n v="21"/>
    <n v="2054"/>
    <n v="1883"/>
    <n v="151959.78571428571"/>
    <x v="2"/>
    <n v="192"/>
    <x v="2"/>
  </r>
  <r>
    <d v="2020-05-17T00:00:00"/>
    <x v="8"/>
    <n v="15609"/>
    <x v="272"/>
    <n v="15"/>
    <n v="971"/>
    <n v="856"/>
    <n v="91838.5"/>
    <x v="2"/>
    <n v="222"/>
    <x v="2"/>
  </r>
  <r>
    <d v="2020-05-17T00:00:00"/>
    <x v="13"/>
    <n v="11967"/>
    <x v="273"/>
    <n v="15"/>
    <n v="692"/>
    <n v="591"/>
    <n v="70699.3"/>
    <x v="2"/>
    <n v="246"/>
    <x v="2"/>
  </r>
  <r>
    <d v="2020-05-17T00:00:00"/>
    <x v="9"/>
    <n v="28275"/>
    <x v="274"/>
    <n v="19"/>
    <n v="1790"/>
    <n v="1633"/>
    <n v="128191.18421052632"/>
    <x v="2"/>
    <n v="273"/>
    <x v="2"/>
  </r>
  <r>
    <d v="2020-05-17T00:00:00"/>
    <x v="10"/>
    <n v="193363.5"/>
    <x v="275"/>
    <n v="60"/>
    <n v="11698"/>
    <n v="10989"/>
    <n v="325773.09999999998"/>
    <x v="2"/>
    <n v="303"/>
    <x v="2"/>
  </r>
  <r>
    <d v="2020-05-17T00:00:00"/>
    <x v="11"/>
    <n v="184801.5"/>
    <x v="276"/>
    <n v="54"/>
    <n v="11128"/>
    <n v="10467"/>
    <n v="341649.83333333331"/>
    <x v="2"/>
    <n v="327"/>
    <x v="2"/>
  </r>
  <r>
    <d v="2020-05-17T00:00:00"/>
    <x v="12"/>
    <n v="13440"/>
    <x v="277"/>
    <n v="16"/>
    <n v="859"/>
    <n v="746"/>
    <n v="72345.5625"/>
    <x v="2"/>
    <n v="357"/>
    <x v="2"/>
  </r>
  <r>
    <d v="2020-05-18T00:00:00"/>
    <x v="0"/>
    <n v="31329"/>
    <x v="278"/>
    <n v="21"/>
    <n v="1834"/>
    <n v="1660"/>
    <n v="134589.5"/>
    <x v="3"/>
    <n v="389"/>
    <x v="3"/>
  </r>
  <r>
    <d v="2020-05-18T00:00:00"/>
    <x v="1"/>
    <n v="78058.5"/>
    <x v="279"/>
    <n v="31"/>
    <n v="5165"/>
    <n v="4813"/>
    <n v="213216.5806451613"/>
    <x v="3"/>
    <n v="400"/>
    <x v="3"/>
  </r>
  <r>
    <d v="2020-05-18T00:00:00"/>
    <x v="2"/>
    <n v="11680.5"/>
    <x v="280"/>
    <n v="10"/>
    <n v="645"/>
    <n v="565"/>
    <n v="93642.75"/>
    <x v="3"/>
    <n v="408"/>
    <x v="3"/>
  </r>
  <r>
    <d v="2020-05-18T00:00:00"/>
    <x v="3"/>
    <n v="28668"/>
    <x v="281"/>
    <n v="19"/>
    <n v="1858"/>
    <n v="1648"/>
    <n v="136218.31578947368"/>
    <x v="3"/>
    <n v="416"/>
    <x v="3"/>
  </r>
  <r>
    <d v="2020-05-18T00:00:00"/>
    <x v="4"/>
    <n v="273900"/>
    <x v="282"/>
    <n v="129"/>
    <n v="16110"/>
    <n v="14992"/>
    <n v="213451.81509767441"/>
    <x v="3"/>
    <n v="424"/>
    <x v="3"/>
  </r>
  <r>
    <d v="2020-05-18T00:00:00"/>
    <x v="5"/>
    <n v="355081.5"/>
    <x v="283"/>
    <n v="125"/>
    <n v="20449"/>
    <n v="19060"/>
    <n v="295015.10399999999"/>
    <x v="3"/>
    <n v="432"/>
    <x v="3"/>
  </r>
  <r>
    <d v="2020-05-18T00:00:00"/>
    <x v="6"/>
    <n v="70278"/>
    <x v="284"/>
    <n v="36"/>
    <n v="4885"/>
    <n v="4502"/>
    <n v="161068.79166666666"/>
    <x v="3"/>
    <n v="440"/>
    <x v="3"/>
  </r>
  <r>
    <d v="2020-05-18T00:00:00"/>
    <x v="7"/>
    <n v="36655.5"/>
    <x v="285"/>
    <n v="21"/>
    <n v="2136"/>
    <n v="1947"/>
    <n v="160006.42857142858"/>
    <x v="3"/>
    <n v="448"/>
    <x v="3"/>
  </r>
  <r>
    <d v="2020-05-18T00:00:00"/>
    <x v="8"/>
    <n v="14290.5"/>
    <x v="286"/>
    <n v="16"/>
    <n v="925"/>
    <n v="816"/>
    <n v="77885.15625"/>
    <x v="3"/>
    <n v="456"/>
    <x v="3"/>
  </r>
  <r>
    <d v="2020-05-18T00:00:00"/>
    <x v="13"/>
    <n v="12450"/>
    <x v="287"/>
    <n v="15"/>
    <n v="729"/>
    <n v="636"/>
    <n v="74343.100000000006"/>
    <x v="3"/>
    <n v="464"/>
    <x v="3"/>
  </r>
  <r>
    <d v="2020-05-18T00:00:00"/>
    <x v="9"/>
    <n v="27181.5"/>
    <x v="288"/>
    <n v="19"/>
    <n v="1741"/>
    <n v="1597"/>
    <n v="122341.57894736843"/>
    <x v="3"/>
    <n v="472"/>
    <x v="3"/>
  </r>
  <r>
    <d v="2020-05-18T00:00:00"/>
    <x v="10"/>
    <n v="201999"/>
    <x v="289"/>
    <n v="60"/>
    <n v="12460"/>
    <n v="11665"/>
    <n v="340373.92499999999"/>
    <x v="3"/>
    <n v="480"/>
    <x v="3"/>
  </r>
  <r>
    <d v="2020-05-18T00:00:00"/>
    <x v="11"/>
    <n v="196560"/>
    <x v="290"/>
    <n v="54"/>
    <n v="12012"/>
    <n v="11308"/>
    <n v="367687.44444444444"/>
    <x v="3"/>
    <n v="488"/>
    <x v="3"/>
  </r>
  <r>
    <d v="2020-05-18T00:00:00"/>
    <x v="12"/>
    <n v="14497.5"/>
    <x v="291"/>
    <n v="16"/>
    <n v="864"/>
    <n v="765"/>
    <n v="76919.4375"/>
    <x v="3"/>
    <n v="496"/>
    <x v="3"/>
  </r>
  <r>
    <d v="2020-05-19T00:00:00"/>
    <x v="0"/>
    <n v="31842"/>
    <x v="292"/>
    <n v="21"/>
    <n v="1860"/>
    <n v="1704"/>
    <n v="131957.92857142858"/>
    <x v="3"/>
    <n v="5"/>
    <x v="3"/>
  </r>
  <r>
    <d v="2020-05-19T00:00:00"/>
    <x v="1"/>
    <n v="84024"/>
    <x v="293"/>
    <n v="31"/>
    <n v="5389"/>
    <n v="5024"/>
    <n v="219855.19354838709"/>
    <x v="3"/>
    <n v="32"/>
    <x v="3"/>
  </r>
  <r>
    <d v="2020-05-19T00:00:00"/>
    <x v="2"/>
    <n v="11526"/>
    <x v="294"/>
    <n v="10"/>
    <n v="649"/>
    <n v="568"/>
    <n v="93876.45"/>
    <x v="3"/>
    <n v="56"/>
    <x v="3"/>
  </r>
  <r>
    <d v="2020-05-19T00:00:00"/>
    <x v="3"/>
    <n v="32434.5"/>
    <x v="295"/>
    <n v="19"/>
    <n v="1999"/>
    <n v="1799"/>
    <n v="150807.23684210525"/>
    <x v="3"/>
    <n v="86"/>
    <x v="3"/>
  </r>
  <r>
    <d v="2020-05-19T00:00:00"/>
    <x v="4"/>
    <n v="276568.5"/>
    <x v="296"/>
    <n v="129"/>
    <n v="16191"/>
    <n v="15102"/>
    <n v="210028.09302325582"/>
    <x v="3"/>
    <n v="113"/>
    <x v="3"/>
  </r>
  <r>
    <d v="2020-05-19T00:00:00"/>
    <x v="5"/>
    <n v="362536.5"/>
    <x v="297"/>
    <n v="125"/>
    <n v="20771"/>
    <n v="19338"/>
    <n v="296185.94400000002"/>
    <x v="3"/>
    <n v="137"/>
    <x v="3"/>
  </r>
  <r>
    <d v="2020-05-19T00:00:00"/>
    <x v="6"/>
    <n v="75796.5"/>
    <x v="298"/>
    <n v="36"/>
    <n v="5094"/>
    <n v="4716"/>
    <n v="171485.08333333334"/>
    <x v="3"/>
    <n v="164"/>
    <x v="3"/>
  </r>
  <r>
    <d v="2020-05-19T00:00:00"/>
    <x v="7"/>
    <n v="38250"/>
    <x v="299"/>
    <n v="21"/>
    <n v="2245"/>
    <n v="2053"/>
    <n v="169187.5"/>
    <x v="3"/>
    <n v="191"/>
    <x v="3"/>
  </r>
  <r>
    <d v="2020-05-19T00:00:00"/>
    <x v="8"/>
    <n v="16638"/>
    <x v="300"/>
    <n v="16"/>
    <n v="1012"/>
    <n v="900"/>
    <n v="85302.9375"/>
    <x v="3"/>
    <n v="221"/>
    <x v="3"/>
  </r>
  <r>
    <d v="2020-05-19T00:00:00"/>
    <x v="13"/>
    <n v="16237.5"/>
    <x v="301"/>
    <n v="15"/>
    <n v="930"/>
    <n v="827"/>
    <n v="93536.5"/>
    <x v="3"/>
    <n v="245"/>
    <x v="3"/>
  </r>
  <r>
    <d v="2020-05-19T00:00:00"/>
    <x v="9"/>
    <n v="28882.5"/>
    <x v="302"/>
    <n v="19"/>
    <n v="1831"/>
    <n v="1667"/>
    <n v="128764.73684210527"/>
    <x v="3"/>
    <n v="272"/>
    <x v="3"/>
  </r>
  <r>
    <d v="2020-05-19T00:00:00"/>
    <x v="10"/>
    <n v="223597.5"/>
    <x v="303"/>
    <n v="60"/>
    <n v="13867"/>
    <n v="12987"/>
    <n v="365764.3"/>
    <x v="3"/>
    <n v="302"/>
    <x v="3"/>
  </r>
  <r>
    <d v="2020-05-19T00:00:00"/>
    <x v="11"/>
    <n v="211453.5"/>
    <x v="304"/>
    <n v="54"/>
    <n v="13070"/>
    <n v="12244"/>
    <n v="381297.63888888888"/>
    <x v="3"/>
    <n v="326"/>
    <x v="3"/>
  </r>
  <r>
    <d v="2020-05-19T00:00:00"/>
    <x v="12"/>
    <n v="14427"/>
    <x v="305"/>
    <n v="17"/>
    <n v="857"/>
    <n v="757"/>
    <n v="66282.970588235301"/>
    <x v="3"/>
    <n v="356"/>
    <x v="3"/>
  </r>
  <r>
    <d v="2020-05-20T00:00:00"/>
    <x v="0"/>
    <n v="34077"/>
    <x v="306"/>
    <n v="21"/>
    <n v="1921"/>
    <n v="1767"/>
    <n v="139491.92857142858"/>
    <x v="3"/>
    <n v="15"/>
    <x v="3"/>
  </r>
  <r>
    <d v="2020-05-20T00:00:00"/>
    <x v="1"/>
    <n v="93313.5"/>
    <x v="307"/>
    <n v="31"/>
    <n v="5698"/>
    <n v="5258"/>
    <n v="233792.75806451612"/>
    <x v="3"/>
    <n v="42"/>
    <x v="3"/>
  </r>
  <r>
    <d v="2020-05-20T00:00:00"/>
    <x v="2"/>
    <n v="13063.5"/>
    <x v="308"/>
    <n v="10"/>
    <n v="745"/>
    <n v="654"/>
    <n v="103724.7"/>
    <x v="3"/>
    <n v="66"/>
    <x v="3"/>
  </r>
  <r>
    <d v="2020-05-20T00:00:00"/>
    <x v="3"/>
    <n v="29955"/>
    <x v="309"/>
    <n v="19"/>
    <n v="1889"/>
    <n v="1690"/>
    <n v="141696.31578947368"/>
    <x v="3"/>
    <n v="96"/>
    <x v="3"/>
  </r>
  <r>
    <d v="2020-05-20T00:00:00"/>
    <x v="4"/>
    <n v="300151.5"/>
    <x v="310"/>
    <n v="129"/>
    <n v="17095"/>
    <n v="15919"/>
    <n v="227664.8962593023"/>
    <x v="3"/>
    <n v="123"/>
    <x v="3"/>
  </r>
  <r>
    <d v="2020-05-20T00:00:00"/>
    <x v="5"/>
    <n v="388668"/>
    <x v="311"/>
    <n v="125"/>
    <n v="21674"/>
    <n v="20155"/>
    <n v="317114.47200000001"/>
    <x v="3"/>
    <n v="147"/>
    <x v="3"/>
  </r>
  <r>
    <d v="2020-05-20T00:00:00"/>
    <x v="6"/>
    <n v="99631.5"/>
    <x v="312"/>
    <n v="36"/>
    <n v="5914"/>
    <n v="5384"/>
    <n v="197831.83333333334"/>
    <x v="3"/>
    <n v="174"/>
    <x v="3"/>
  </r>
  <r>
    <d v="2020-05-20T00:00:00"/>
    <x v="7"/>
    <n v="41391"/>
    <x v="313"/>
    <n v="21"/>
    <n v="2410"/>
    <n v="2202"/>
    <n v="186618.42857142858"/>
    <x v="3"/>
    <n v="201"/>
    <x v="3"/>
  </r>
  <r>
    <d v="2020-05-20T00:00:00"/>
    <x v="8"/>
    <n v="17329.5"/>
    <x v="314"/>
    <n v="16"/>
    <n v="1050"/>
    <n v="938"/>
    <n v="89390.90625"/>
    <x v="3"/>
    <n v="231"/>
    <x v="3"/>
  </r>
  <r>
    <d v="2020-05-20T00:00:00"/>
    <x v="13"/>
    <n v="12630"/>
    <x v="315"/>
    <n v="15"/>
    <n v="760"/>
    <n v="664"/>
    <n v="73657.2"/>
    <x v="3"/>
    <n v="255"/>
    <x v="3"/>
  </r>
  <r>
    <d v="2020-05-20T00:00:00"/>
    <x v="9"/>
    <n v="28849.5"/>
    <x v="316"/>
    <n v="19"/>
    <n v="1823"/>
    <n v="1678"/>
    <n v="132671.52631578947"/>
    <x v="3"/>
    <n v="281"/>
    <x v="3"/>
  </r>
  <r>
    <d v="2020-05-20T00:00:00"/>
    <x v="10"/>
    <n v="219622.5"/>
    <x v="317"/>
    <n v="60"/>
    <n v="13792"/>
    <n v="12834"/>
    <n v="365988.1"/>
    <x v="3"/>
    <n v="312"/>
    <x v="3"/>
  </r>
  <r>
    <d v="2020-05-20T00:00:00"/>
    <x v="11"/>
    <n v="214885.5"/>
    <x v="318"/>
    <n v="54"/>
    <n v="13298"/>
    <n v="12428"/>
    <n v="396506.47222222225"/>
    <x v="3"/>
    <n v="335"/>
    <x v="3"/>
  </r>
  <r>
    <d v="2020-05-20T00:00:00"/>
    <x v="12"/>
    <n v="14928"/>
    <x v="319"/>
    <n v="17"/>
    <n v="890"/>
    <n v="794"/>
    <n v="71632.323529411762"/>
    <x v="3"/>
    <n v="365"/>
    <x v="3"/>
  </r>
  <r>
    <d v="2020-05-21T00:00:00"/>
    <x v="0"/>
    <n v="31272"/>
    <x v="320"/>
    <n v="21"/>
    <n v="1787"/>
    <n v="1626"/>
    <n v="130684.85714285714"/>
    <x v="3"/>
    <n v="14"/>
    <x v="3"/>
  </r>
  <r>
    <d v="2020-05-21T00:00:00"/>
    <x v="1"/>
    <n v="79485"/>
    <x v="321"/>
    <n v="31"/>
    <n v="5207"/>
    <n v="4868"/>
    <n v="213995.0806451613"/>
    <x v="3"/>
    <n v="41"/>
    <x v="3"/>
  </r>
  <r>
    <d v="2020-05-21T00:00:00"/>
    <x v="2"/>
    <n v="11250"/>
    <x v="322"/>
    <n v="10"/>
    <n v="677"/>
    <n v="591"/>
    <n v="93552.3"/>
    <x v="3"/>
    <n v="65"/>
    <x v="3"/>
  </r>
  <r>
    <d v="2020-05-21T00:00:00"/>
    <x v="3"/>
    <n v="31707"/>
    <x v="323"/>
    <n v="19"/>
    <n v="1949"/>
    <n v="1724"/>
    <n v="150167.44736842104"/>
    <x v="3"/>
    <n v="95"/>
    <x v="3"/>
  </r>
  <r>
    <d v="2020-05-21T00:00:00"/>
    <x v="4"/>
    <n v="288936"/>
    <x v="324"/>
    <n v="129"/>
    <n v="16373"/>
    <n v="15223"/>
    <n v="215913.95348837209"/>
    <x v="3"/>
    <n v="122"/>
    <x v="3"/>
  </r>
  <r>
    <d v="2020-05-21T00:00:00"/>
    <x v="5"/>
    <n v="378043.5"/>
    <x v="325"/>
    <n v="125"/>
    <n v="20911"/>
    <n v="19358"/>
    <n v="303217.25255999999"/>
    <x v="3"/>
    <n v="146"/>
    <x v="3"/>
  </r>
  <r>
    <d v="2020-05-21T00:00:00"/>
    <x v="6"/>
    <n v="73126.5"/>
    <x v="326"/>
    <n v="36"/>
    <n v="4816"/>
    <n v="4452"/>
    <n v="162891.25"/>
    <x v="3"/>
    <n v="173"/>
    <x v="3"/>
  </r>
  <r>
    <d v="2020-05-21T00:00:00"/>
    <x v="7"/>
    <n v="40819.5"/>
    <x v="327"/>
    <n v="21"/>
    <n v="2335"/>
    <n v="2126"/>
    <n v="181447.35714285713"/>
    <x v="3"/>
    <n v="200"/>
    <x v="3"/>
  </r>
  <r>
    <d v="2020-05-21T00:00:00"/>
    <x v="8"/>
    <n v="16554"/>
    <x v="328"/>
    <n v="17"/>
    <n v="1045"/>
    <n v="930"/>
    <n v="81220.676470588238"/>
    <x v="3"/>
    <n v="230"/>
    <x v="3"/>
  </r>
  <r>
    <d v="2020-05-21T00:00:00"/>
    <x v="13"/>
    <n v="12135"/>
    <x v="329"/>
    <n v="15"/>
    <n v="749"/>
    <n v="652"/>
    <n v="73574.899999999994"/>
    <x v="3"/>
    <n v="254"/>
    <x v="3"/>
  </r>
  <r>
    <d v="2020-05-21T00:00:00"/>
    <x v="9"/>
    <n v="25362"/>
    <x v="330"/>
    <n v="19"/>
    <n v="1650"/>
    <n v="1505"/>
    <n v="115733.44736842105"/>
    <x v="3"/>
    <n v="280"/>
    <x v="3"/>
  </r>
  <r>
    <d v="2020-05-21T00:00:00"/>
    <x v="10"/>
    <n v="224233.5"/>
    <x v="331"/>
    <n v="60"/>
    <n v="14005"/>
    <n v="13002"/>
    <n v="370888.25"/>
    <x v="3"/>
    <n v="311"/>
    <x v="3"/>
  </r>
  <r>
    <d v="2020-05-21T00:00:00"/>
    <x v="11"/>
    <n v="213640.5"/>
    <x v="332"/>
    <n v="54"/>
    <n v="13240"/>
    <n v="12360"/>
    <n v="389679.13888888888"/>
    <x v="3"/>
    <n v="334"/>
    <x v="3"/>
  </r>
  <r>
    <d v="2020-05-21T00:00:00"/>
    <x v="12"/>
    <n v="14182.5"/>
    <x v="333"/>
    <n v="18"/>
    <n v="888"/>
    <n v="786"/>
    <n v="65143"/>
    <x v="3"/>
    <n v="364"/>
    <x v="3"/>
  </r>
  <r>
    <d v="2020-05-22T00:00:00"/>
    <x v="0"/>
    <n v="36031.5"/>
    <x v="334"/>
    <n v="21"/>
    <n v="2046"/>
    <n v="1853"/>
    <n v="147193.78571428571"/>
    <x v="3"/>
    <n v="384"/>
    <x v="3"/>
  </r>
  <r>
    <d v="2020-05-22T00:00:00"/>
    <x v="1"/>
    <n v="97963.5"/>
    <x v="335"/>
    <n v="31"/>
    <n v="5965"/>
    <n v="5533"/>
    <n v="249305.32258064515"/>
    <x v="3"/>
    <n v="396"/>
    <x v="3"/>
  </r>
  <r>
    <d v="2020-05-22T00:00:00"/>
    <x v="2"/>
    <n v="18036"/>
    <x v="336"/>
    <n v="10"/>
    <n v="965"/>
    <n v="861"/>
    <n v="145504.95000000001"/>
    <x v="3"/>
    <n v="404"/>
    <x v="3"/>
  </r>
  <r>
    <d v="2020-05-22T00:00:00"/>
    <x v="3"/>
    <n v="38074.5"/>
    <x v="337"/>
    <n v="20"/>
    <n v="2306"/>
    <n v="2054"/>
    <n v="170709"/>
    <x v="3"/>
    <n v="413"/>
    <x v="3"/>
  </r>
  <r>
    <d v="2020-05-22T00:00:00"/>
    <x v="4"/>
    <n v="304092"/>
    <x v="338"/>
    <n v="129"/>
    <n v="17088"/>
    <n v="15804"/>
    <n v="228416.81395348837"/>
    <x v="3"/>
    <n v="421"/>
    <x v="3"/>
  </r>
  <r>
    <d v="2020-05-22T00:00:00"/>
    <x v="5"/>
    <n v="393018"/>
    <x v="339"/>
    <n v="125"/>
    <n v="21427"/>
    <n v="19799"/>
    <n v="315986.98800000001"/>
    <x v="3"/>
    <n v="428"/>
    <x v="3"/>
  </r>
  <r>
    <d v="2020-05-22T00:00:00"/>
    <x v="6"/>
    <n v="75820.5"/>
    <x v="340"/>
    <n v="36"/>
    <n v="4857"/>
    <n v="4456"/>
    <n v="165096.91666666666"/>
    <x v="3"/>
    <n v="436"/>
    <x v="3"/>
  </r>
  <r>
    <d v="2020-05-22T00:00:00"/>
    <x v="7"/>
    <n v="53838"/>
    <x v="341"/>
    <n v="21"/>
    <n v="2861"/>
    <n v="2612"/>
    <n v="230515.85714285713"/>
    <x v="3"/>
    <n v="444"/>
    <x v="3"/>
  </r>
  <r>
    <d v="2020-05-22T00:00:00"/>
    <x v="8"/>
    <n v="21483"/>
    <x v="342"/>
    <n v="17"/>
    <n v="1268"/>
    <n v="1129"/>
    <n v="104372.29411764706"/>
    <x v="3"/>
    <n v="453"/>
    <x v="3"/>
  </r>
  <r>
    <d v="2020-05-22T00:00:00"/>
    <x v="13"/>
    <n v="15802.5"/>
    <x v="343"/>
    <n v="15"/>
    <n v="903"/>
    <n v="792"/>
    <n v="94127.3"/>
    <x v="3"/>
    <n v="460"/>
    <x v="3"/>
  </r>
  <r>
    <d v="2020-05-22T00:00:00"/>
    <x v="9"/>
    <n v="30781.5"/>
    <x v="344"/>
    <n v="19"/>
    <n v="1859"/>
    <n v="1697"/>
    <n v="133721.84210526315"/>
    <x v="3"/>
    <n v="468"/>
    <x v="3"/>
  </r>
  <r>
    <d v="2020-05-22T00:00:00"/>
    <x v="10"/>
    <n v="228334.5"/>
    <x v="345"/>
    <n v="60"/>
    <n v="14050"/>
    <n v="13027"/>
    <n v="373012.875"/>
    <x v="3"/>
    <n v="477"/>
    <x v="3"/>
  </r>
  <r>
    <d v="2020-05-22T00:00:00"/>
    <x v="11"/>
    <n v="214428"/>
    <x v="346"/>
    <n v="54"/>
    <n v="13014"/>
    <n v="12095"/>
    <n v="385418.25"/>
    <x v="3"/>
    <n v="484"/>
    <x v="3"/>
  </r>
  <r>
    <d v="2020-05-22T00:00:00"/>
    <x v="12"/>
    <n v="17008.5"/>
    <x v="347"/>
    <n v="18"/>
    <n v="985"/>
    <n v="861"/>
    <n v="77709.5"/>
    <x v="3"/>
    <n v="493"/>
    <x v="3"/>
  </r>
  <r>
    <d v="2020-05-23T00:00:00"/>
    <x v="0"/>
    <n v="42703.5"/>
    <x v="348"/>
    <n v="21"/>
    <n v="2340"/>
    <n v="2146"/>
    <n v="172796.5"/>
    <x v="3"/>
    <n v="21"/>
    <x v="3"/>
  </r>
  <r>
    <d v="2020-05-23T00:00:00"/>
    <x v="1"/>
    <n v="102889.5"/>
    <x v="349"/>
    <n v="31"/>
    <n v="6276"/>
    <n v="5801"/>
    <n v="260940.09677419355"/>
    <x v="3"/>
    <n v="48"/>
    <x v="3"/>
  </r>
  <r>
    <d v="2020-05-23T00:00:00"/>
    <x v="2"/>
    <n v="14773.5"/>
    <x v="350"/>
    <n v="10"/>
    <n v="828"/>
    <n v="734"/>
    <n v="124138.35"/>
    <x v="3"/>
    <n v="74"/>
    <x v="3"/>
  </r>
  <r>
    <d v="2020-05-23T00:00:00"/>
    <x v="3"/>
    <n v="38176.5"/>
    <x v="351"/>
    <n v="20"/>
    <n v="2266"/>
    <n v="1993"/>
    <n v="169268.625"/>
    <x v="3"/>
    <n v="102"/>
    <x v="3"/>
  </r>
  <r>
    <d v="2020-05-23T00:00:00"/>
    <x v="4"/>
    <n v="356982"/>
    <x v="352"/>
    <n v="129"/>
    <n v="19856"/>
    <n v="18325"/>
    <n v="272123.46288023255"/>
    <x v="3"/>
    <n v="129"/>
    <x v="3"/>
  </r>
  <r>
    <d v="2020-05-23T00:00:00"/>
    <x v="5"/>
    <n v="456885"/>
    <x v="353"/>
    <n v="125"/>
    <n v="24574"/>
    <n v="22609"/>
    <n v="371264.64"/>
    <x v="3"/>
    <n v="155"/>
    <x v="3"/>
  </r>
  <r>
    <d v="2020-05-23T00:00:00"/>
    <x v="6"/>
    <n v="89556"/>
    <x v="354"/>
    <n v="36"/>
    <n v="5651"/>
    <n v="5212"/>
    <n v="199253.25"/>
    <x v="3"/>
    <n v="182"/>
    <x v="3"/>
  </r>
  <r>
    <d v="2020-05-23T00:00:00"/>
    <x v="7"/>
    <n v="42999"/>
    <x v="355"/>
    <n v="21"/>
    <n v="2460"/>
    <n v="2226"/>
    <n v="184915"/>
    <x v="3"/>
    <n v="209"/>
    <x v="3"/>
  </r>
  <r>
    <d v="2020-05-23T00:00:00"/>
    <x v="8"/>
    <n v="21958.5"/>
    <x v="356"/>
    <n v="17"/>
    <n v="1294"/>
    <n v="1155"/>
    <n v="109058.91176470589"/>
    <x v="3"/>
    <n v="237"/>
    <x v="3"/>
  </r>
  <r>
    <d v="2020-05-23T00:00:00"/>
    <x v="13"/>
    <n v="14167.5"/>
    <x v="357"/>
    <n v="15"/>
    <n v="840"/>
    <n v="725"/>
    <n v="87671.7"/>
    <x v="3"/>
    <n v="263"/>
    <x v="3"/>
  </r>
  <r>
    <d v="2020-05-23T00:00:00"/>
    <x v="9"/>
    <n v="36997.5"/>
    <x v="358"/>
    <n v="19"/>
    <n v="2195"/>
    <n v="1999"/>
    <n v="162586.34210526315"/>
    <x v="3"/>
    <n v="288"/>
    <x v="3"/>
  </r>
  <r>
    <d v="2020-05-23T00:00:00"/>
    <x v="10"/>
    <n v="292018.5"/>
    <x v="359"/>
    <n v="60"/>
    <n v="17295"/>
    <n v="16010"/>
    <n v="476515.17499999999"/>
    <x v="3"/>
    <n v="318"/>
    <x v="3"/>
  </r>
  <r>
    <d v="2020-05-23T00:00:00"/>
    <x v="11"/>
    <n v="275793"/>
    <x v="360"/>
    <n v="54"/>
    <n v="16221"/>
    <n v="15065"/>
    <n v="496419"/>
    <x v="3"/>
    <n v="342"/>
    <x v="3"/>
  </r>
  <r>
    <d v="2020-05-23T00:00:00"/>
    <x v="12"/>
    <n v="17943"/>
    <x v="361"/>
    <n v="18"/>
    <n v="1031"/>
    <n v="918"/>
    <n v="80966.166666666672"/>
    <x v="3"/>
    <n v="370"/>
    <x v="3"/>
  </r>
  <r>
    <d v="2020-05-24T00:00:00"/>
    <x v="0"/>
    <n v="34303.5"/>
    <x v="362"/>
    <n v="20"/>
    <n v="1999"/>
    <n v="1829"/>
    <n v="146237.32500000001"/>
    <x v="3"/>
    <n v="27"/>
    <x v="3"/>
  </r>
  <r>
    <d v="2020-05-24T00:00:00"/>
    <x v="1"/>
    <n v="76663.5"/>
    <x v="363"/>
    <n v="31"/>
    <n v="5035"/>
    <n v="4683"/>
    <n v="208097.80645161291"/>
    <x v="3"/>
    <n v="54"/>
    <x v="3"/>
  </r>
  <r>
    <d v="2020-05-24T00:00:00"/>
    <x v="2"/>
    <n v="9994.5"/>
    <x v="364"/>
    <n v="10"/>
    <n v="639"/>
    <n v="557"/>
    <n v="82898.399999999994"/>
    <x v="3"/>
    <n v="81"/>
    <x v="3"/>
  </r>
  <r>
    <d v="2020-05-24T00:00:00"/>
    <x v="3"/>
    <n v="31854"/>
    <x v="365"/>
    <n v="20"/>
    <n v="2015"/>
    <n v="1803"/>
    <n v="145776.67499999999"/>
    <x v="3"/>
    <n v="108"/>
    <x v="3"/>
  </r>
  <r>
    <d v="2020-05-24T00:00:00"/>
    <x v="4"/>
    <n v="287740.5"/>
    <x v="366"/>
    <n v="129"/>
    <n v="16432"/>
    <n v="15345"/>
    <n v="218515.76744186046"/>
    <x v="3"/>
    <n v="135"/>
    <x v="3"/>
  </r>
  <r>
    <d v="2020-05-24T00:00:00"/>
    <x v="5"/>
    <n v="375744"/>
    <x v="367"/>
    <n v="125"/>
    <n v="21004"/>
    <n v="19556"/>
    <n v="305531.05200000003"/>
    <x v="3"/>
    <n v="162"/>
    <x v="3"/>
  </r>
  <r>
    <d v="2020-05-24T00:00:00"/>
    <x v="6"/>
    <n v="74649"/>
    <x v="368"/>
    <n v="36"/>
    <n v="4915"/>
    <n v="4562"/>
    <n v="169395.45833333334"/>
    <x v="3"/>
    <n v="189"/>
    <x v="3"/>
  </r>
  <r>
    <d v="2020-05-24T00:00:00"/>
    <x v="7"/>
    <n v="38194.5"/>
    <x v="369"/>
    <n v="21"/>
    <n v="2254"/>
    <n v="2061"/>
    <n v="164252.5"/>
    <x v="3"/>
    <n v="216"/>
    <x v="3"/>
  </r>
  <r>
    <d v="2020-05-24T00:00:00"/>
    <x v="8"/>
    <n v="18075"/>
    <x v="370"/>
    <n v="17"/>
    <n v="1128"/>
    <n v="1001"/>
    <n v="91064.647058823524"/>
    <x v="3"/>
    <n v="243"/>
    <x v="3"/>
  </r>
  <r>
    <d v="2020-05-24T00:00:00"/>
    <x v="13"/>
    <n v="12666"/>
    <x v="371"/>
    <n v="15"/>
    <n v="779"/>
    <n v="673"/>
    <n v="78991"/>
    <x v="3"/>
    <n v="270"/>
    <x v="3"/>
  </r>
  <r>
    <d v="2020-05-24T00:00:00"/>
    <x v="9"/>
    <n v="29824.5"/>
    <x v="372"/>
    <n v="19"/>
    <n v="1868"/>
    <n v="1706"/>
    <n v="132995.21052631579"/>
    <x v="3"/>
    <n v="295"/>
    <x v="3"/>
  </r>
  <r>
    <d v="2020-05-24T00:00:00"/>
    <x v="10"/>
    <n v="200029.5"/>
    <x v="373"/>
    <n v="60"/>
    <n v="12822"/>
    <n v="11916"/>
    <n v="332663.34999999998"/>
    <x v="3"/>
    <n v="324"/>
    <x v="3"/>
  </r>
  <r>
    <d v="2020-05-24T00:00:00"/>
    <x v="11"/>
    <n v="193719"/>
    <x v="374"/>
    <n v="54"/>
    <n v="12211"/>
    <n v="11427"/>
    <n v="353168.83333333331"/>
    <x v="3"/>
    <n v="349"/>
    <x v="3"/>
  </r>
  <r>
    <d v="2020-05-24T00:00:00"/>
    <x v="12"/>
    <n v="17197.5"/>
    <x v="375"/>
    <n v="18"/>
    <n v="1006"/>
    <n v="904"/>
    <n v="77014.583333333328"/>
    <x v="3"/>
    <n v="376"/>
    <x v="3"/>
  </r>
  <r>
    <d v="2020-05-25T00:00:00"/>
    <x v="0"/>
    <n v="35592"/>
    <x v="376"/>
    <n v="20"/>
    <n v="2087"/>
    <n v="1914"/>
    <n v="158829"/>
    <x v="4"/>
    <n v="22"/>
    <x v="4"/>
  </r>
  <r>
    <d v="2020-05-25T00:00:00"/>
    <x v="1"/>
    <n v="76999.5"/>
    <x v="377"/>
    <n v="31"/>
    <n v="5210"/>
    <n v="4841"/>
    <n v="214374.29032258064"/>
    <x v="4"/>
    <n v="49"/>
    <x v="4"/>
  </r>
  <r>
    <d v="2020-05-25T00:00:00"/>
    <x v="2"/>
    <n v="12280.5"/>
    <x v="378"/>
    <n v="10"/>
    <n v="739"/>
    <n v="642"/>
    <n v="103044"/>
    <x v="4"/>
    <n v="76"/>
    <x v="4"/>
  </r>
  <r>
    <d v="2020-05-25T00:00:00"/>
    <x v="3"/>
    <n v="30603"/>
    <x v="379"/>
    <n v="20"/>
    <n v="2011"/>
    <n v="1791"/>
    <n v="143286.375"/>
    <x v="4"/>
    <n v="103"/>
    <x v="4"/>
  </r>
  <r>
    <d v="2020-05-25T00:00:00"/>
    <x v="4"/>
    <n v="266983.5"/>
    <x v="380"/>
    <n v="129"/>
    <n v="15822"/>
    <n v="14753"/>
    <n v="210588.47674418605"/>
    <x v="4"/>
    <n v="130"/>
    <x v="4"/>
  </r>
  <r>
    <d v="2020-05-25T00:00:00"/>
    <x v="5"/>
    <n v="349734"/>
    <x v="381"/>
    <n v="124"/>
    <n v="20358"/>
    <n v="18890"/>
    <n v="297447"/>
    <x v="4"/>
    <n v="157"/>
    <x v="4"/>
  </r>
  <r>
    <d v="2020-05-25T00:00:00"/>
    <x v="6"/>
    <n v="66316.5"/>
    <x v="382"/>
    <n v="36"/>
    <n v="4641"/>
    <n v="4274"/>
    <n v="158462.5"/>
    <x v="4"/>
    <n v="184"/>
    <x v="4"/>
  </r>
  <r>
    <d v="2020-05-25T00:00:00"/>
    <x v="7"/>
    <n v="38740.5"/>
    <x v="383"/>
    <n v="21"/>
    <n v="2330"/>
    <n v="2142"/>
    <n v="169602.64285714287"/>
    <x v="4"/>
    <n v="211"/>
    <x v="4"/>
  </r>
  <r>
    <d v="2020-05-25T00:00:00"/>
    <x v="8"/>
    <n v="17211"/>
    <x v="384"/>
    <n v="17"/>
    <n v="1142"/>
    <n v="1020"/>
    <n v="88698.088235294112"/>
    <x v="4"/>
    <n v="238"/>
    <x v="4"/>
  </r>
  <r>
    <d v="2020-05-25T00:00:00"/>
    <x v="13"/>
    <n v="13260"/>
    <x v="385"/>
    <n v="15"/>
    <n v="835"/>
    <n v="736"/>
    <n v="82045.8"/>
    <x v="4"/>
    <n v="265"/>
    <x v="4"/>
  </r>
  <r>
    <d v="2020-05-25T00:00:00"/>
    <x v="9"/>
    <n v="28494"/>
    <x v="386"/>
    <n v="20"/>
    <n v="1899"/>
    <n v="1738"/>
    <n v="125640.15"/>
    <x v="4"/>
    <n v="290"/>
    <x v="4"/>
  </r>
  <r>
    <d v="2020-05-25T00:00:00"/>
    <x v="10"/>
    <n v="198751.5"/>
    <x v="387"/>
    <n v="59"/>
    <n v="12983"/>
    <n v="12056"/>
    <n v="348860.05932203389"/>
    <x v="4"/>
    <n v="319"/>
    <x v="4"/>
  </r>
  <r>
    <d v="2020-05-25T00:00:00"/>
    <x v="11"/>
    <n v="192948"/>
    <x v="388"/>
    <n v="54"/>
    <n v="12336"/>
    <n v="11519"/>
    <n v="366794.94444444444"/>
    <x v="4"/>
    <n v="344"/>
    <x v="4"/>
  </r>
  <r>
    <d v="2020-05-25T00:00:00"/>
    <x v="12"/>
    <n v="15807"/>
    <x v="389"/>
    <n v="18"/>
    <n v="989"/>
    <n v="887"/>
    <n v="73705.833333333328"/>
    <x v="4"/>
    <n v="371"/>
    <x v="4"/>
  </r>
  <r>
    <d v="2020-05-26T00:00:00"/>
    <x v="0"/>
    <n v="33423"/>
    <x v="390"/>
    <n v="20"/>
    <n v="2044"/>
    <n v="1863"/>
    <n v="148516.5"/>
    <x v="4"/>
    <n v="11"/>
    <x v="4"/>
  </r>
  <r>
    <d v="2020-05-26T00:00:00"/>
    <x v="1"/>
    <n v="79975.5"/>
    <x v="391"/>
    <n v="31"/>
    <n v="5493"/>
    <n v="5119"/>
    <n v="215369.66129032258"/>
    <x v="4"/>
    <n v="38"/>
    <x v="4"/>
  </r>
  <r>
    <d v="2020-05-26T00:00:00"/>
    <x v="2"/>
    <n v="11835"/>
    <x v="392"/>
    <n v="10"/>
    <n v="692"/>
    <n v="601"/>
    <n v="98310.9"/>
    <x v="4"/>
    <n v="62"/>
    <x v="4"/>
  </r>
  <r>
    <d v="2020-05-26T00:00:00"/>
    <x v="3"/>
    <n v="31407"/>
    <x v="393"/>
    <n v="20"/>
    <n v="2036"/>
    <n v="1790"/>
    <n v="145370.54999999999"/>
    <x v="4"/>
    <n v="92"/>
    <x v="4"/>
  </r>
  <r>
    <d v="2020-05-26T00:00:00"/>
    <x v="4"/>
    <n v="276966"/>
    <x v="394"/>
    <n v="129"/>
    <n v="16459"/>
    <n v="15355"/>
    <n v="216066.80541744188"/>
    <x v="4"/>
    <n v="119"/>
    <x v="4"/>
  </r>
  <r>
    <d v="2020-05-26T00:00:00"/>
    <x v="5"/>
    <n v="369861"/>
    <x v="395"/>
    <n v="124"/>
    <n v="21153"/>
    <n v="19673"/>
    <n v="309402.90725806454"/>
    <x v="4"/>
    <n v="143"/>
    <x v="4"/>
  </r>
  <r>
    <d v="2020-05-26T00:00:00"/>
    <x v="6"/>
    <n v="67726.5"/>
    <x v="396"/>
    <n v="36"/>
    <n v="4770"/>
    <n v="4424"/>
    <n v="162916.375"/>
    <x v="4"/>
    <n v="170"/>
    <x v="4"/>
  </r>
  <r>
    <d v="2020-05-26T00:00:00"/>
    <x v="7"/>
    <n v="40744.5"/>
    <x v="397"/>
    <n v="21"/>
    <n v="2418"/>
    <n v="2215"/>
    <n v="176205.28571428571"/>
    <x v="4"/>
    <n v="197"/>
    <x v="4"/>
  </r>
  <r>
    <d v="2020-05-26T00:00:00"/>
    <x v="8"/>
    <n v="17391"/>
    <x v="398"/>
    <n v="17"/>
    <n v="1140"/>
    <n v="1016"/>
    <n v="87596.029411764699"/>
    <x v="4"/>
    <n v="227"/>
    <x v="4"/>
  </r>
  <r>
    <d v="2020-05-26T00:00:00"/>
    <x v="13"/>
    <n v="12259.5"/>
    <x v="399"/>
    <n v="15"/>
    <n v="812"/>
    <n v="711"/>
    <n v="76803.600000000006"/>
    <x v="4"/>
    <n v="251"/>
    <x v="4"/>
  </r>
  <r>
    <d v="2020-05-26T00:00:00"/>
    <x v="9"/>
    <n v="27156"/>
    <x v="400"/>
    <n v="20"/>
    <n v="1814"/>
    <n v="1655"/>
    <n v="120540.15"/>
    <x v="4"/>
    <n v="277"/>
    <x v="4"/>
  </r>
  <r>
    <d v="2020-05-26T00:00:00"/>
    <x v="10"/>
    <n v="244905"/>
    <x v="401"/>
    <n v="59"/>
    <n v="15369"/>
    <n v="14299"/>
    <n v="426498.83898305084"/>
    <x v="4"/>
    <n v="308"/>
    <x v="4"/>
  </r>
  <r>
    <d v="2020-05-26T00:00:00"/>
    <x v="11"/>
    <n v="232369.5"/>
    <x v="402"/>
    <n v="54"/>
    <n v="14482"/>
    <n v="13510"/>
    <n v="441784.16666666669"/>
    <x v="4"/>
    <n v="331"/>
    <x v="4"/>
  </r>
  <r>
    <d v="2020-05-26T00:00:00"/>
    <x v="14"/>
    <n v="10437"/>
    <x v="403"/>
    <n v="7"/>
    <n v="577"/>
    <n v="389"/>
    <n v="119116.5"/>
    <x v="4"/>
    <n v="361"/>
    <x v="4"/>
  </r>
  <r>
    <d v="2020-05-26T00:00:00"/>
    <x v="12"/>
    <n v="14419.5"/>
    <x v="404"/>
    <n v="18"/>
    <n v="914"/>
    <n v="804"/>
    <n v="67247.583333333328"/>
    <x v="4"/>
    <n v="377"/>
    <x v="4"/>
  </r>
  <r>
    <d v="2020-05-27T00:00:00"/>
    <x v="0"/>
    <n v="32817"/>
    <x v="405"/>
    <n v="20"/>
    <n v="2079"/>
    <n v="1893"/>
    <n v="150787.57500000001"/>
    <x v="4"/>
    <n v="383"/>
    <x v="4"/>
  </r>
  <r>
    <d v="2020-05-27T00:00:00"/>
    <x v="1"/>
    <n v="78544.5"/>
    <x v="406"/>
    <n v="31"/>
    <n v="5330"/>
    <n v="4977"/>
    <n v="216163.98387096773"/>
    <x v="4"/>
    <n v="395"/>
    <x v="4"/>
  </r>
  <r>
    <d v="2020-05-27T00:00:00"/>
    <x v="2"/>
    <n v="12490.5"/>
    <x v="407"/>
    <n v="10"/>
    <n v="757"/>
    <n v="660"/>
    <n v="105479.85"/>
    <x v="4"/>
    <n v="403"/>
    <x v="4"/>
  </r>
  <r>
    <d v="2020-05-27T00:00:00"/>
    <x v="3"/>
    <n v="31257"/>
    <x v="408"/>
    <n v="20"/>
    <n v="2079"/>
    <n v="1856"/>
    <n v="146206.65"/>
    <x v="4"/>
    <n v="412"/>
    <x v="4"/>
  </r>
  <r>
    <d v="2020-05-27T00:00:00"/>
    <x v="4"/>
    <n v="286558.5"/>
    <x v="409"/>
    <n v="129"/>
    <n v="17115"/>
    <n v="15962"/>
    <n v="226798.39534883722"/>
    <x v="4"/>
    <n v="420"/>
    <x v="4"/>
  </r>
  <r>
    <d v="2020-05-27T00:00:00"/>
    <x v="5"/>
    <n v="370012.5"/>
    <x v="410"/>
    <n v="124"/>
    <n v="21384"/>
    <n v="19897"/>
    <n v="314797.2701612903"/>
    <x v="4"/>
    <n v="427"/>
    <x v="4"/>
  </r>
  <r>
    <d v="2020-05-27T00:00:00"/>
    <x v="6"/>
    <n v="69010.5"/>
    <x v="411"/>
    <n v="36"/>
    <n v="4951"/>
    <n v="4584"/>
    <n v="166274.83333333334"/>
    <x v="4"/>
    <n v="435"/>
    <x v="4"/>
  </r>
  <r>
    <d v="2020-05-27T00:00:00"/>
    <x v="7"/>
    <n v="40420.5"/>
    <x v="412"/>
    <n v="21"/>
    <n v="2430"/>
    <n v="2216"/>
    <n v="180040.57142857142"/>
    <x v="4"/>
    <n v="443"/>
    <x v="4"/>
  </r>
  <r>
    <d v="2020-05-27T00:00:00"/>
    <x v="8"/>
    <n v="18069"/>
    <x v="413"/>
    <n v="17"/>
    <n v="1203"/>
    <n v="1077"/>
    <n v="94299.088235294112"/>
    <x v="4"/>
    <n v="452"/>
    <x v="4"/>
  </r>
  <r>
    <d v="2020-05-27T00:00:00"/>
    <x v="13"/>
    <n v="13203"/>
    <x v="414"/>
    <n v="15"/>
    <n v="809"/>
    <n v="702"/>
    <n v="80763.8"/>
    <x v="4"/>
    <n v="459"/>
    <x v="4"/>
  </r>
  <r>
    <d v="2020-05-27T00:00:00"/>
    <x v="9"/>
    <n v="28050"/>
    <x v="415"/>
    <n v="20"/>
    <n v="1873"/>
    <n v="1715"/>
    <n v="122927.77499999999"/>
    <x v="4"/>
    <n v="467"/>
    <x v="4"/>
  </r>
  <r>
    <d v="2020-05-27T00:00:00"/>
    <x v="10"/>
    <n v="215592"/>
    <x v="416"/>
    <n v="59"/>
    <n v="13942"/>
    <n v="12986"/>
    <n v="378683.05932203389"/>
    <x v="4"/>
    <n v="476"/>
    <x v="4"/>
  </r>
  <r>
    <d v="2020-05-27T00:00:00"/>
    <x v="11"/>
    <n v="203532"/>
    <x v="417"/>
    <n v="54"/>
    <n v="13091"/>
    <n v="12216"/>
    <n v="388024.52777777775"/>
    <x v="4"/>
    <n v="483"/>
    <x v="4"/>
  </r>
  <r>
    <d v="2020-05-27T00:00:00"/>
    <x v="14"/>
    <n v="8362.5"/>
    <x v="418"/>
    <n v="7"/>
    <n v="409"/>
    <n v="329"/>
    <n v="98240.571428571435"/>
    <x v="4"/>
    <n v="492"/>
    <x v="4"/>
  </r>
  <r>
    <d v="2020-05-27T00:00:00"/>
    <x v="12"/>
    <n v="15276"/>
    <x v="419"/>
    <n v="18"/>
    <n v="962"/>
    <n v="859"/>
    <n v="75011.083333333328"/>
    <x v="4"/>
    <n v="499"/>
    <x v="4"/>
  </r>
  <r>
    <d v="2020-05-28T00:00:00"/>
    <x v="15"/>
    <n v="8536.5"/>
    <x v="420"/>
    <n v="15"/>
    <n v="464"/>
    <n v="390"/>
    <n v="42929.599999999999"/>
    <x v="4"/>
    <n v="3"/>
    <x v="4"/>
  </r>
  <r>
    <d v="2020-05-28T00:00:00"/>
    <x v="0"/>
    <n v="30982.5"/>
    <x v="421"/>
    <n v="20"/>
    <n v="1886"/>
    <n v="1736"/>
    <n v="141388.65"/>
    <x v="4"/>
    <n v="30"/>
    <x v="4"/>
  </r>
  <r>
    <d v="2020-05-28T00:00:00"/>
    <x v="1"/>
    <n v="78141"/>
    <x v="422"/>
    <n v="31"/>
    <n v="5355"/>
    <n v="4969"/>
    <n v="214244.17741935485"/>
    <x v="4"/>
    <n v="75"/>
    <x v="4"/>
  </r>
  <r>
    <d v="2020-05-28T00:00:00"/>
    <x v="2"/>
    <n v="13038"/>
    <x v="423"/>
    <n v="10"/>
    <n v="791"/>
    <n v="697"/>
    <n v="111455.25"/>
    <x v="4"/>
    <n v="84"/>
    <x v="4"/>
  </r>
  <r>
    <d v="2020-05-28T00:00:00"/>
    <x v="3"/>
    <n v="31974"/>
    <x v="424"/>
    <n v="20"/>
    <n v="2088"/>
    <n v="1848"/>
    <n v="150210.67499999999"/>
    <x v="4"/>
    <n v="111"/>
    <x v="4"/>
  </r>
  <r>
    <d v="2020-05-28T00:00:00"/>
    <x v="4"/>
    <n v="278491.5"/>
    <x v="425"/>
    <n v="129"/>
    <n v="16453"/>
    <n v="15289"/>
    <n v="218224.84302325582"/>
    <x v="4"/>
    <n v="156"/>
    <x v="4"/>
  </r>
  <r>
    <d v="2020-05-28T00:00:00"/>
    <x v="5"/>
    <n v="364638"/>
    <x v="426"/>
    <n v="124"/>
    <n v="20868"/>
    <n v="19342"/>
    <n v="306029.74596774194"/>
    <x v="4"/>
    <n v="183"/>
    <x v="4"/>
  </r>
  <r>
    <d v="2020-05-28T00:00:00"/>
    <x v="6"/>
    <n v="69945"/>
    <x v="427"/>
    <n v="37"/>
    <n v="4840"/>
    <n v="4475"/>
    <n v="164917.05405405405"/>
    <x v="4"/>
    <n v="210"/>
    <x v="4"/>
  </r>
  <r>
    <d v="2020-05-28T00:00:00"/>
    <x v="7"/>
    <n v="41442"/>
    <x v="428"/>
    <n v="22"/>
    <n v="2454"/>
    <n v="2239"/>
    <n v="176985.47727272726"/>
    <x v="4"/>
    <n v="219"/>
    <x v="4"/>
  </r>
  <r>
    <d v="2020-05-28T00:00:00"/>
    <x v="8"/>
    <n v="16500"/>
    <x v="429"/>
    <n v="17"/>
    <n v="1097"/>
    <n v="968"/>
    <n v="87525.176470588238"/>
    <x v="4"/>
    <n v="264"/>
    <x v="4"/>
  </r>
  <r>
    <d v="2020-05-28T00:00:00"/>
    <x v="13"/>
    <n v="13864.5"/>
    <x v="430"/>
    <n v="16"/>
    <n v="876"/>
    <n v="762"/>
    <n v="77484.1875"/>
    <x v="4"/>
    <n v="289"/>
    <x v="4"/>
  </r>
  <r>
    <d v="2020-05-28T00:00:00"/>
    <x v="9"/>
    <n v="28197"/>
    <x v="431"/>
    <n v="20"/>
    <n v="1875"/>
    <n v="1701"/>
    <n v="127960.575"/>
    <x v="4"/>
    <n v="300"/>
    <x v="4"/>
  </r>
  <r>
    <d v="2020-05-28T00:00:00"/>
    <x v="10"/>
    <n v="199753.5"/>
    <x v="432"/>
    <n v="60"/>
    <n v="12854"/>
    <n v="11954"/>
    <n v="342262.22499999998"/>
    <x v="4"/>
    <n v="343"/>
    <x v="4"/>
  </r>
  <r>
    <d v="2020-05-28T00:00:00"/>
    <x v="11"/>
    <n v="191641.5"/>
    <x v="433"/>
    <n v="54"/>
    <n v="12409"/>
    <n v="11582"/>
    <n v="362019.19444444444"/>
    <x v="4"/>
    <n v="354"/>
    <x v="4"/>
  </r>
  <r>
    <d v="2020-05-28T00:00:00"/>
    <x v="14"/>
    <n v="8428.5"/>
    <x v="434"/>
    <n v="7"/>
    <n v="420"/>
    <n v="347"/>
    <n v="99238.5"/>
    <x v="4"/>
    <n v="382"/>
    <x v="4"/>
  </r>
  <r>
    <d v="2020-05-28T00:00:00"/>
    <x v="12"/>
    <n v="15678"/>
    <x v="435"/>
    <n v="18"/>
    <n v="1020"/>
    <n v="911"/>
    <n v="77080.166666666672"/>
    <x v="4"/>
    <n v="388"/>
    <x v="4"/>
  </r>
  <r>
    <d v="2020-05-29T00:00:00"/>
    <x v="15"/>
    <n v="8350.5"/>
    <x v="436"/>
    <n v="15"/>
    <n v="400"/>
    <n v="329"/>
    <n v="43415.8"/>
    <x v="4"/>
    <n v="381"/>
    <x v="4"/>
  </r>
  <r>
    <d v="2020-05-29T00:00:00"/>
    <x v="0"/>
    <n v="35431.5"/>
    <x v="437"/>
    <n v="20"/>
    <n v="2111"/>
    <n v="1917"/>
    <n v="159658.35"/>
    <x v="4"/>
    <n v="394"/>
    <x v="4"/>
  </r>
  <r>
    <d v="2020-05-29T00:00:00"/>
    <x v="1"/>
    <n v="87552"/>
    <x v="438"/>
    <n v="31"/>
    <n v="5751"/>
    <n v="5319"/>
    <n v="238294.06451612903"/>
    <x v="4"/>
    <n v="407"/>
    <x v="4"/>
  </r>
  <r>
    <d v="2020-05-29T00:00:00"/>
    <x v="2"/>
    <n v="14823"/>
    <x v="439"/>
    <n v="10"/>
    <n v="873"/>
    <n v="770"/>
    <n v="127346.4"/>
    <x v="4"/>
    <n v="411"/>
    <x v="4"/>
  </r>
  <r>
    <d v="2020-05-29T00:00:00"/>
    <x v="3"/>
    <n v="35346"/>
    <x v="440"/>
    <n v="20"/>
    <n v="2249"/>
    <n v="2000"/>
    <n v="162902.70000000001"/>
    <x v="4"/>
    <n v="419"/>
    <x v="4"/>
  </r>
  <r>
    <d v="2020-05-29T00:00:00"/>
    <x v="4"/>
    <n v="422965.5"/>
    <x v="441"/>
    <n v="129"/>
    <n v="22403"/>
    <n v="20676"/>
    <n v="323776.27988372091"/>
    <x v="4"/>
    <n v="431"/>
    <x v="4"/>
  </r>
  <r>
    <d v="2020-05-29T00:00:00"/>
    <x v="5"/>
    <n v="524481"/>
    <x v="442"/>
    <n v="124"/>
    <n v="25828"/>
    <n v="23974"/>
    <n v="436871.20161290321"/>
    <x v="4"/>
    <n v="439"/>
    <x v="4"/>
  </r>
  <r>
    <d v="2020-05-29T00:00:00"/>
    <x v="6"/>
    <n v="84433.5"/>
    <x v="443"/>
    <n v="37"/>
    <n v="5672"/>
    <n v="5198"/>
    <n v="195362.02702702704"/>
    <x v="4"/>
    <n v="447"/>
    <x v="4"/>
  </r>
  <r>
    <d v="2020-05-29T00:00:00"/>
    <x v="7"/>
    <n v="44569.5"/>
    <x v="444"/>
    <n v="22"/>
    <n v="2597"/>
    <n v="2379"/>
    <n v="186754.36363636365"/>
    <x v="4"/>
    <n v="451"/>
    <x v="4"/>
  </r>
  <r>
    <d v="2020-05-29T00:00:00"/>
    <x v="8"/>
    <n v="19647"/>
    <x v="445"/>
    <n v="17"/>
    <n v="1296"/>
    <n v="1153"/>
    <n v="103804.05882352941"/>
    <x v="4"/>
    <n v="463"/>
    <x v="4"/>
  </r>
  <r>
    <d v="2020-05-29T00:00:00"/>
    <x v="13"/>
    <n v="17052"/>
    <x v="446"/>
    <n v="16"/>
    <n v="981"/>
    <n v="859"/>
    <n v="96813.75"/>
    <x v="4"/>
    <n v="471"/>
    <x v="4"/>
  </r>
  <r>
    <d v="2020-05-29T00:00:00"/>
    <x v="9"/>
    <n v="32782.5"/>
    <x v="447"/>
    <n v="20"/>
    <n v="2064"/>
    <n v="1896"/>
    <n v="142737.07500000001"/>
    <x v="4"/>
    <n v="475"/>
    <x v="4"/>
  </r>
  <r>
    <d v="2020-05-29T00:00:00"/>
    <x v="10"/>
    <n v="232102.5"/>
    <x v="448"/>
    <n v="59"/>
    <n v="14507"/>
    <n v="13386"/>
    <n v="391871.92372881353"/>
    <x v="4"/>
    <n v="487"/>
    <x v="4"/>
  </r>
  <r>
    <d v="2020-05-29T00:00:00"/>
    <x v="11"/>
    <n v="226476"/>
    <x v="449"/>
    <n v="54"/>
    <n v="14031"/>
    <n v="12943"/>
    <n v="415113.91666666669"/>
    <x v="4"/>
    <n v="491"/>
    <x v="4"/>
  </r>
  <r>
    <d v="2020-05-29T00:00:00"/>
    <x v="14"/>
    <n v="9927"/>
    <x v="450"/>
    <n v="7"/>
    <n v="491"/>
    <n v="411"/>
    <n v="121548.64285714286"/>
    <x v="4"/>
    <n v="501"/>
    <x v="4"/>
  </r>
  <r>
    <d v="2020-05-29T00:00:00"/>
    <x v="12"/>
    <n v="16878"/>
    <x v="451"/>
    <n v="18"/>
    <n v="1014"/>
    <n v="893"/>
    <n v="79903.083333333328"/>
    <x v="4"/>
    <n v="503"/>
    <x v="4"/>
  </r>
  <r>
    <d v="2020-05-30T00:00:00"/>
    <x v="15"/>
    <n v="10029"/>
    <x v="452"/>
    <n v="15"/>
    <n v="490"/>
    <n v="409"/>
    <n v="52473.4"/>
    <x v="4"/>
    <n v="2"/>
    <x v="4"/>
  </r>
  <r>
    <d v="2020-05-30T00:00:00"/>
    <x v="0"/>
    <n v="44001"/>
    <x v="453"/>
    <n v="20"/>
    <n v="2597"/>
    <n v="2376"/>
    <n v="196089.22500000001"/>
    <x v="4"/>
    <n v="29"/>
    <x v="4"/>
  </r>
  <r>
    <d v="2020-05-30T00:00:00"/>
    <x v="1"/>
    <n v="108123"/>
    <x v="454"/>
    <n v="31"/>
    <n v="6735"/>
    <n v="6264"/>
    <n v="295635.72580645164"/>
    <x v="4"/>
    <n v="72"/>
    <x v="4"/>
  </r>
  <r>
    <d v="2020-05-30T00:00:00"/>
    <x v="2"/>
    <n v="14728.5"/>
    <x v="455"/>
    <n v="10"/>
    <n v="865"/>
    <n v="763"/>
    <n v="126048.3"/>
    <x v="4"/>
    <n v="83"/>
    <x v="4"/>
  </r>
  <r>
    <d v="2020-05-30T00:00:00"/>
    <x v="3"/>
    <n v="39867"/>
    <x v="456"/>
    <n v="20"/>
    <n v="2451"/>
    <n v="2178"/>
    <n v="182708.32500000001"/>
    <x v="4"/>
    <n v="110"/>
    <x v="4"/>
  </r>
  <r>
    <d v="2020-05-30T00:00:00"/>
    <x v="4"/>
    <n v="364882.5"/>
    <x v="457"/>
    <n v="129"/>
    <n v="20243"/>
    <n v="18711"/>
    <n v="276934.0581395349"/>
    <x v="4"/>
    <n v="153"/>
    <x v="4"/>
  </r>
  <r>
    <d v="2020-05-30T00:00:00"/>
    <x v="5"/>
    <n v="453123"/>
    <x v="458"/>
    <n v="124"/>
    <n v="24325"/>
    <n v="22469"/>
    <n v="373958.90322580643"/>
    <x v="4"/>
    <n v="180"/>
    <x v="4"/>
  </r>
  <r>
    <d v="2020-05-30T00:00:00"/>
    <x v="6"/>
    <n v="106926"/>
    <x v="459"/>
    <n v="37"/>
    <n v="6645"/>
    <n v="6122"/>
    <n v="245902.33783783784"/>
    <x v="4"/>
    <n v="207"/>
    <x v="4"/>
  </r>
  <r>
    <d v="2020-05-30T00:00:00"/>
    <x v="7"/>
    <n v="48286.5"/>
    <x v="460"/>
    <n v="22"/>
    <n v="2793"/>
    <n v="2539"/>
    <n v="202565.52272727274"/>
    <x v="4"/>
    <n v="218"/>
    <x v="4"/>
  </r>
  <r>
    <d v="2020-05-30T00:00:00"/>
    <x v="8"/>
    <n v="27250.5"/>
    <x v="461"/>
    <n v="17"/>
    <n v="1697"/>
    <n v="1499"/>
    <n v="144544.23529411765"/>
    <x v="4"/>
    <n v="261"/>
    <x v="4"/>
  </r>
  <r>
    <d v="2020-05-30T00:00:00"/>
    <x v="13"/>
    <n v="17946"/>
    <x v="462"/>
    <n v="16"/>
    <n v="1048"/>
    <n v="918"/>
    <n v="100568.15625"/>
    <x v="4"/>
    <n v="286"/>
    <x v="4"/>
  </r>
  <r>
    <d v="2020-05-30T00:00:00"/>
    <x v="9"/>
    <n v="34681.5"/>
    <x v="463"/>
    <n v="20"/>
    <n v="2174"/>
    <n v="1957"/>
    <n v="150266.70000000001"/>
    <x v="4"/>
    <n v="299"/>
    <x v="4"/>
  </r>
  <r>
    <d v="2020-05-30T00:00:00"/>
    <x v="10"/>
    <n v="246414"/>
    <x v="464"/>
    <n v="59"/>
    <n v="15030"/>
    <n v="13956"/>
    <n v="415716.0254237288"/>
    <x v="4"/>
    <n v="340"/>
    <x v="4"/>
  </r>
  <r>
    <d v="2020-05-30T00:00:00"/>
    <x v="11"/>
    <n v="244734"/>
    <x v="465"/>
    <n v="54"/>
    <n v="14590"/>
    <n v="13551"/>
    <n v="447258.88888888888"/>
    <x v="4"/>
    <n v="353"/>
    <x v="4"/>
  </r>
  <r>
    <d v="2020-05-30T00:00:00"/>
    <x v="14"/>
    <n v="11220"/>
    <x v="466"/>
    <n v="7"/>
    <n v="532"/>
    <n v="449"/>
    <n v="132667.92857142858"/>
    <x v="4"/>
    <n v="380"/>
    <x v="4"/>
  </r>
  <r>
    <d v="2020-05-30T00:00:00"/>
    <x v="12"/>
    <n v="20688"/>
    <x v="467"/>
    <n v="18"/>
    <n v="1216"/>
    <n v="1101"/>
    <n v="98508.583333333328"/>
    <x v="4"/>
    <n v="387"/>
    <x v="4"/>
  </r>
  <r>
    <d v="2020-05-31T00:00:00"/>
    <x v="15"/>
    <n v="7944"/>
    <x v="468"/>
    <n v="15"/>
    <n v="441"/>
    <n v="368"/>
    <n v="41598.1"/>
    <x v="4"/>
    <n v="1"/>
    <x v="4"/>
  </r>
  <r>
    <d v="2020-05-31T00:00:00"/>
    <x v="0"/>
    <n v="36999"/>
    <x v="469"/>
    <n v="21"/>
    <n v="2271"/>
    <n v="2085"/>
    <n v="165423.57142857142"/>
    <x v="4"/>
    <n v="28"/>
    <x v="4"/>
  </r>
  <r>
    <d v="2020-05-31T00:00:00"/>
    <x v="1"/>
    <n v="89149.5"/>
    <x v="470"/>
    <n v="31"/>
    <n v="5760"/>
    <n v="5367"/>
    <n v="242343.43548387097"/>
    <x v="4"/>
    <n v="70"/>
    <x v="4"/>
  </r>
  <r>
    <d v="2020-05-31T00:00:00"/>
    <x v="2"/>
    <n v="12724.5"/>
    <x v="471"/>
    <n v="10"/>
    <n v="749"/>
    <n v="655"/>
    <n v="104551.5"/>
    <x v="4"/>
    <n v="82"/>
    <x v="4"/>
  </r>
  <r>
    <d v="2020-05-31T00:00:00"/>
    <x v="3"/>
    <n v="32359.5"/>
    <x v="472"/>
    <n v="20"/>
    <n v="2060"/>
    <n v="1826"/>
    <n v="149599.95000000001"/>
    <x v="4"/>
    <n v="109"/>
    <x v="4"/>
  </r>
  <r>
    <d v="2020-05-31T00:00:00"/>
    <x v="4"/>
    <n v="294337.5"/>
    <x v="473"/>
    <n v="129"/>
    <n v="17235"/>
    <n v="16052"/>
    <n v="227347.02325581395"/>
    <x v="4"/>
    <n v="151"/>
    <x v="4"/>
  </r>
  <r>
    <d v="2020-05-31T00:00:00"/>
    <x v="5"/>
    <n v="379663.5"/>
    <x v="474"/>
    <n v="124"/>
    <n v="21392"/>
    <n v="19869"/>
    <n v="317582.08064516127"/>
    <x v="4"/>
    <n v="178"/>
    <x v="4"/>
  </r>
  <r>
    <d v="2020-05-31T00:00:00"/>
    <x v="6"/>
    <n v="76234.5"/>
    <x v="475"/>
    <n v="37"/>
    <n v="5215"/>
    <n v="4848"/>
    <n v="175698.60810810811"/>
    <x v="4"/>
    <n v="205"/>
    <x v="4"/>
  </r>
  <r>
    <d v="2020-05-31T00:00:00"/>
    <x v="7"/>
    <n v="42423"/>
    <x v="476"/>
    <n v="23"/>
    <n v="2522"/>
    <n v="2295"/>
    <n v="173658.84782608695"/>
    <x v="4"/>
    <n v="217"/>
    <x v="4"/>
  </r>
  <r>
    <d v="2020-05-31T00:00:00"/>
    <x v="8"/>
    <n v="17689.5"/>
    <x v="477"/>
    <n v="17"/>
    <n v="1186"/>
    <n v="1054"/>
    <n v="93654.088235294112"/>
    <x v="4"/>
    <n v="259"/>
    <x v="4"/>
  </r>
  <r>
    <d v="2020-05-31T00:00:00"/>
    <x v="13"/>
    <n v="14808"/>
    <x v="478"/>
    <n v="16"/>
    <n v="917"/>
    <n v="802"/>
    <n v="83549.34375"/>
    <x v="4"/>
    <n v="284"/>
    <x v="4"/>
  </r>
  <r>
    <d v="2020-05-31T00:00:00"/>
    <x v="9"/>
    <n v="31372.5"/>
    <x v="479"/>
    <n v="21"/>
    <n v="2056"/>
    <n v="1879"/>
    <n v="133063.07142857142"/>
    <x v="4"/>
    <n v="298"/>
    <x v="4"/>
  </r>
  <r>
    <d v="2020-05-31T00:00:00"/>
    <x v="10"/>
    <n v="215277"/>
    <x v="480"/>
    <n v="59"/>
    <n v="13684"/>
    <n v="12690"/>
    <n v="365852.82203389832"/>
    <x v="4"/>
    <n v="338"/>
    <x v="4"/>
  </r>
  <r>
    <d v="2020-05-31T00:00:00"/>
    <x v="11"/>
    <n v="206758.5"/>
    <x v="481"/>
    <n v="54"/>
    <n v="13106"/>
    <n v="12164"/>
    <n v="383652.75"/>
    <x v="4"/>
    <n v="352"/>
    <x v="4"/>
  </r>
  <r>
    <d v="2020-05-31T00:00:00"/>
    <x v="16"/>
    <n v="6409.5"/>
    <x v="482"/>
    <n v="9"/>
    <n v="345"/>
    <n v="255"/>
    <n v="54877"/>
    <x v="4"/>
    <n v="379"/>
    <x v="4"/>
  </r>
  <r>
    <d v="2020-05-31T00:00:00"/>
    <x v="17"/>
    <n v="5127"/>
    <x v="483"/>
    <n v="6"/>
    <n v="261"/>
    <n v="188"/>
    <n v="78139.25"/>
    <x v="4"/>
    <n v="385"/>
    <x v="4"/>
  </r>
  <r>
    <d v="2020-05-31T00:00:00"/>
    <x v="14"/>
    <n v="10416"/>
    <x v="484"/>
    <n v="7"/>
    <n v="530"/>
    <n v="447"/>
    <n v="123717.64285714286"/>
    <x v="4"/>
    <n v="393"/>
    <x v="4"/>
  </r>
  <r>
    <d v="2020-05-31T00:00:00"/>
    <x v="12"/>
    <n v="16143"/>
    <x v="485"/>
    <n v="18"/>
    <n v="1029"/>
    <n v="925"/>
    <n v="79078.333333333328"/>
    <x v="4"/>
    <n v="398"/>
    <x v="4"/>
  </r>
  <r>
    <d v="2020-06-01T00:00:00"/>
    <x v="15"/>
    <n v="7816.5"/>
    <x v="486"/>
    <n v="15"/>
    <n v="453"/>
    <n v="370"/>
    <n v="42423"/>
    <x v="5"/>
    <n v="378"/>
    <x v="5"/>
  </r>
  <r>
    <d v="2020-06-01T00:00:00"/>
    <x v="0"/>
    <n v="31947"/>
    <x v="487"/>
    <n v="21"/>
    <n v="2025"/>
    <n v="1849"/>
    <n v="140239.78571428571"/>
    <x v="5"/>
    <n v="392"/>
    <x v="5"/>
  </r>
  <r>
    <d v="2020-06-01T00:00:00"/>
    <x v="1"/>
    <n v="77269.5"/>
    <x v="488"/>
    <n v="31"/>
    <n v="5468"/>
    <n v="5081"/>
    <n v="220320.04838709679"/>
    <x v="5"/>
    <n v="397"/>
    <x v="5"/>
  </r>
  <r>
    <d v="2020-06-01T00:00:00"/>
    <x v="2"/>
    <n v="11416.5"/>
    <x v="489"/>
    <n v="10"/>
    <n v="719"/>
    <n v="627"/>
    <n v="100774.2"/>
    <x v="5"/>
    <n v="405"/>
    <x v="5"/>
  </r>
  <r>
    <d v="2020-06-01T00:00:00"/>
    <x v="3"/>
    <n v="32170.5"/>
    <x v="490"/>
    <n v="20"/>
    <n v="2136"/>
    <n v="1899"/>
    <n v="150675.6"/>
    <x v="5"/>
    <n v="414"/>
    <x v="5"/>
  </r>
  <r>
    <d v="2020-06-01T00:00:00"/>
    <x v="4"/>
    <n v="272926.5"/>
    <x v="491"/>
    <n v="128"/>
    <n v="16285"/>
    <n v="15130"/>
    <n v="216953.84765625"/>
    <x v="5"/>
    <n v="422"/>
    <x v="5"/>
  </r>
  <r>
    <d v="2020-06-01T00:00:00"/>
    <x v="5"/>
    <n v="349699.5"/>
    <x v="492"/>
    <n v="123"/>
    <n v="20325"/>
    <n v="18935"/>
    <n v="302909.26976707316"/>
    <x v="5"/>
    <n v="429"/>
    <x v="5"/>
  </r>
  <r>
    <d v="2020-06-01T00:00:00"/>
    <x v="6"/>
    <n v="64740"/>
    <x v="493"/>
    <n v="37"/>
    <n v="4722"/>
    <n v="4352"/>
    <n v="156764.59459459459"/>
    <x v="5"/>
    <n v="437"/>
    <x v="5"/>
  </r>
  <r>
    <d v="2020-06-01T00:00:00"/>
    <x v="7"/>
    <n v="40528.5"/>
    <x v="494"/>
    <n v="23"/>
    <n v="2531"/>
    <n v="2296"/>
    <n v="168054.39130434784"/>
    <x v="5"/>
    <n v="445"/>
    <x v="5"/>
  </r>
  <r>
    <d v="2020-06-01T00:00:00"/>
    <x v="8"/>
    <n v="16687.5"/>
    <x v="495"/>
    <n v="17"/>
    <n v="1185"/>
    <n v="1042"/>
    <n v="89800.5"/>
    <x v="5"/>
    <n v="454"/>
    <x v="5"/>
  </r>
  <r>
    <d v="2020-06-01T00:00:00"/>
    <x v="13"/>
    <n v="16476"/>
    <x v="496"/>
    <n v="16"/>
    <n v="1019"/>
    <n v="895"/>
    <n v="97852.03125"/>
    <x v="5"/>
    <n v="461"/>
    <x v="5"/>
  </r>
  <r>
    <d v="2020-06-01T00:00:00"/>
    <x v="9"/>
    <n v="27960"/>
    <x v="497"/>
    <n v="21"/>
    <n v="1879"/>
    <n v="1720"/>
    <n v="120903.21428571429"/>
    <x v="5"/>
    <n v="469"/>
    <x v="5"/>
  </r>
  <r>
    <d v="2020-06-01T00:00:00"/>
    <x v="10"/>
    <n v="188776.5"/>
    <x v="498"/>
    <n v="59"/>
    <n v="12299"/>
    <n v="11448"/>
    <n v="329921.56779661018"/>
    <x v="5"/>
    <n v="478"/>
    <x v="5"/>
  </r>
  <r>
    <d v="2020-06-01T00:00:00"/>
    <x v="11"/>
    <n v="183228"/>
    <x v="499"/>
    <n v="54"/>
    <n v="11864"/>
    <n v="11071"/>
    <n v="350262.86111111112"/>
    <x v="5"/>
    <n v="485"/>
    <x v="5"/>
  </r>
  <r>
    <d v="2020-06-01T00:00:00"/>
    <x v="16"/>
    <n v="5166"/>
    <x v="500"/>
    <n v="9"/>
    <n v="294"/>
    <n v="224"/>
    <n v="43223.666666666664"/>
    <x v="5"/>
    <n v="494"/>
    <x v="5"/>
  </r>
  <r>
    <d v="2020-06-01T00:00:00"/>
    <x v="17"/>
    <n v="4408.5"/>
    <x v="501"/>
    <n v="6"/>
    <n v="237"/>
    <n v="175"/>
    <n v="68482"/>
    <x v="5"/>
    <n v="500"/>
    <x v="5"/>
  </r>
  <r>
    <d v="2020-06-01T00:00:00"/>
    <x v="14"/>
    <n v="9474"/>
    <x v="502"/>
    <n v="7"/>
    <n v="500"/>
    <n v="418"/>
    <n v="114635.35714285714"/>
    <x v="5"/>
    <n v="502"/>
    <x v="5"/>
  </r>
  <r>
    <d v="2020-06-01T00:00:00"/>
    <x v="12"/>
    <n v="14238"/>
    <x v="503"/>
    <n v="18"/>
    <n v="923"/>
    <n v="824"/>
    <n v="71845.5"/>
    <x v="5"/>
    <n v="50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7234C-41D4-4F2E-B65F-17F276AB25CF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28:H48" firstHeaderRow="1" firstDataRow="2" firstDataCol="1"/>
  <pivotFields count="11">
    <pivotField numFmtId="164" showAll="0"/>
    <pivotField axis="axisRow" showAll="0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</pivotField>
    <pivotField numFmtId="165" showAll="0"/>
    <pivotField dataField="1" numFmtId="165" showAll="0">
      <items count="505">
        <item x="500"/>
        <item x="35"/>
        <item x="501"/>
        <item x="63"/>
        <item x="483"/>
        <item x="482"/>
        <item x="49"/>
        <item x="91"/>
        <item x="56"/>
        <item x="468"/>
        <item x="486"/>
        <item x="70"/>
        <item x="420"/>
        <item x="436"/>
        <item x="77"/>
        <item x="418"/>
        <item x="105"/>
        <item x="434"/>
        <item x="112"/>
        <item x="28"/>
        <item x="84"/>
        <item x="196"/>
        <item x="182"/>
        <item x="119"/>
        <item x="133"/>
        <item x="452"/>
        <item x="98"/>
        <item x="15"/>
        <item x="147"/>
        <item x="502"/>
        <item x="81"/>
        <item x="67"/>
        <item x="364"/>
        <item x="403"/>
        <item x="266"/>
        <item x="450"/>
        <item x="126"/>
        <item x="210"/>
        <item x="484"/>
        <item x="2"/>
        <item x="193"/>
        <item x="42"/>
        <item x="95"/>
        <item x="466"/>
        <item x="322"/>
        <item x="280"/>
        <item x="294"/>
        <item x="217"/>
        <item x="165"/>
        <item x="140"/>
        <item x="231"/>
        <item x="137"/>
        <item x="25"/>
        <item x="224"/>
        <item x="392"/>
        <item x="203"/>
        <item x="12"/>
        <item x="39"/>
        <item x="168"/>
        <item x="489"/>
        <item x="123"/>
        <item x="378"/>
        <item x="308"/>
        <item x="471"/>
        <item x="154"/>
        <item x="151"/>
        <item x="62"/>
        <item x="407"/>
        <item x="273"/>
        <item x="189"/>
        <item x="161"/>
        <item x="90"/>
        <item x="249"/>
        <item x="207"/>
        <item x="188"/>
        <item x="8"/>
        <item x="34"/>
        <item x="329"/>
        <item x="315"/>
        <item x="423"/>
        <item x="287"/>
        <item x="21"/>
        <item x="76"/>
        <item x="245"/>
        <item x="202"/>
        <item x="132"/>
        <item x="305"/>
        <item x="252"/>
        <item x="235"/>
        <item x="53"/>
        <item x="109"/>
        <item x="238"/>
        <item x="399"/>
        <item x="277"/>
        <item x="333"/>
        <item x="221"/>
        <item x="371"/>
        <item x="175"/>
        <item x="404"/>
        <item x="414"/>
        <item x="259"/>
        <item x="179"/>
        <item x="319"/>
        <item x="118"/>
        <item x="160"/>
        <item x="230"/>
        <item x="385"/>
        <item x="291"/>
        <item x="430"/>
        <item x="350"/>
        <item x="216"/>
        <item x="286"/>
        <item x="455"/>
        <item x="146"/>
        <item x="439"/>
        <item x="503"/>
        <item x="357"/>
        <item x="263"/>
        <item x="389"/>
        <item x="478"/>
        <item x="419"/>
        <item x="300"/>
        <item x="244"/>
        <item x="272"/>
        <item x="328"/>
        <item x="104"/>
        <item x="375"/>
        <item x="435"/>
        <item x="347"/>
        <item x="301"/>
        <item x="343"/>
        <item x="485"/>
        <item x="314"/>
        <item x="451"/>
        <item x="336"/>
        <item x="361"/>
        <item x="48"/>
        <item x="174"/>
        <item x="429"/>
        <item x="398"/>
        <item x="384"/>
        <item x="495"/>
        <item x="370"/>
        <item x="446"/>
        <item x="496"/>
        <item x="477"/>
        <item x="258"/>
        <item x="413"/>
        <item x="462"/>
        <item x="64"/>
        <item x="445"/>
        <item x="467"/>
        <item x="342"/>
        <item x="57"/>
        <item x="356"/>
        <item x="78"/>
        <item x="99"/>
        <item x="3"/>
        <item x="92"/>
        <item x="120"/>
        <item x="190"/>
        <item x="71"/>
        <item x="330"/>
        <item x="232"/>
        <item x="113"/>
        <item x="148"/>
        <item x="204"/>
        <item x="218"/>
        <item x="29"/>
        <item x="141"/>
        <item x="9"/>
        <item x="134"/>
        <item x="288"/>
        <item x="127"/>
        <item x="22"/>
        <item x="197"/>
        <item x="82"/>
        <item x="211"/>
        <item x="43"/>
        <item x="106"/>
        <item x="162"/>
        <item x="16"/>
        <item x="400"/>
        <item x="0"/>
        <item x="68"/>
        <item x="274"/>
        <item x="225"/>
        <item x="302"/>
        <item x="85"/>
        <item x="461"/>
        <item x="415"/>
        <item x="61"/>
        <item x="124"/>
        <item x="246"/>
        <item x="180"/>
        <item x="386"/>
        <item x="316"/>
        <item x="372"/>
        <item x="497"/>
        <item x="344"/>
        <item x="431"/>
        <item x="36"/>
        <item x="281"/>
        <item x="194"/>
        <item x="13"/>
        <item x="20"/>
        <item x="208"/>
        <item x="138"/>
        <item x="103"/>
        <item x="309"/>
        <item x="267"/>
        <item x="222"/>
        <item x="54"/>
        <item x="75"/>
        <item x="117"/>
        <item x="320"/>
        <item x="176"/>
        <item x="292"/>
        <item x="479"/>
        <item x="26"/>
        <item x="89"/>
        <item x="278"/>
        <item x="421"/>
        <item x="152"/>
        <item x="323"/>
        <item x="33"/>
        <item x="447"/>
        <item x="169"/>
        <item x="7"/>
        <item x="295"/>
        <item x="379"/>
        <item x="264"/>
        <item x="155"/>
        <item x="96"/>
        <item x="393"/>
        <item x="365"/>
        <item x="260"/>
        <item x="408"/>
        <item x="362"/>
        <item x="306"/>
        <item x="131"/>
        <item x="110"/>
        <item x="487"/>
        <item x="239"/>
        <item x="390"/>
        <item x="472"/>
        <item x="424"/>
        <item x="463"/>
        <item x="490"/>
        <item x="405"/>
        <item x="40"/>
        <item x="236"/>
        <item x="187"/>
        <item x="201"/>
        <item x="159"/>
        <item x="358"/>
        <item x="334"/>
        <item x="229"/>
        <item x="50"/>
        <item x="376"/>
        <item x="271"/>
        <item x="437"/>
        <item x="145"/>
        <item x="253"/>
        <item x="440"/>
        <item x="215"/>
        <item x="166"/>
        <item x="285"/>
        <item x="351"/>
        <item x="250"/>
        <item x="337"/>
        <item x="369"/>
        <item x="469"/>
        <item x="173"/>
        <item x="299"/>
        <item x="383"/>
        <item x="348"/>
        <item x="456"/>
        <item x="397"/>
        <item x="243"/>
        <item x="412"/>
        <item x="327"/>
        <item x="494"/>
        <item x="355"/>
        <item x="428"/>
        <item x="183"/>
        <item x="313"/>
        <item x="453"/>
        <item x="476"/>
        <item x="257"/>
        <item x="444"/>
        <item x="60"/>
        <item x="47"/>
        <item x="460"/>
        <item x="341"/>
        <item x="186"/>
        <item x="144"/>
        <item x="228"/>
        <item x="116"/>
        <item x="200"/>
        <item x="55"/>
        <item x="88"/>
        <item x="382"/>
        <item x="102"/>
        <item x="284"/>
        <item x="493"/>
        <item x="326"/>
        <item x="396"/>
        <item x="340"/>
        <item x="270"/>
        <item x="411"/>
        <item x="223"/>
        <item x="368"/>
        <item x="427"/>
        <item x="111"/>
        <item x="298"/>
        <item x="130"/>
        <item x="74"/>
        <item x="153"/>
        <item x="6"/>
        <item x="139"/>
        <item x="242"/>
        <item x="214"/>
        <item x="195"/>
        <item x="181"/>
        <item x="363"/>
        <item x="19"/>
        <item x="475"/>
        <item x="125"/>
        <item x="279"/>
        <item x="321"/>
        <item x="422"/>
        <item x="83"/>
        <item x="377"/>
        <item x="256"/>
        <item x="391"/>
        <item x="406"/>
        <item x="265"/>
        <item x="293"/>
        <item x="32"/>
        <item x="488"/>
        <item x="237"/>
        <item x="97"/>
        <item x="209"/>
        <item x="69"/>
        <item x="27"/>
        <item x="46"/>
        <item x="312"/>
        <item x="1"/>
        <item x="354"/>
        <item x="14"/>
        <item x="443"/>
        <item x="307"/>
        <item x="158"/>
        <item x="438"/>
        <item x="167"/>
        <item x="470"/>
        <item x="251"/>
        <item x="172"/>
        <item x="335"/>
        <item x="349"/>
        <item x="41"/>
        <item x="459"/>
        <item x="454"/>
        <item x="192"/>
        <item x="191"/>
        <item x="164"/>
        <item x="276"/>
        <item x="66"/>
        <item x="234"/>
        <item x="206"/>
        <item x="220"/>
        <item x="499"/>
        <item x="374"/>
        <item x="205"/>
        <item x="163"/>
        <item x="219"/>
        <item x="498"/>
        <item x="275"/>
        <item x="433"/>
        <item x="65"/>
        <item x="388"/>
        <item x="290"/>
        <item x="233"/>
        <item x="373"/>
        <item x="11"/>
        <item x="289"/>
        <item x="432"/>
        <item x="387"/>
        <item x="304"/>
        <item x="481"/>
        <item x="346"/>
        <item x="24"/>
        <item x="108"/>
        <item x="417"/>
        <item x="332"/>
        <item x="10"/>
        <item x="318"/>
        <item x="136"/>
        <item x="480"/>
        <item x="23"/>
        <item x="38"/>
        <item x="248"/>
        <item x="107"/>
        <item x="303"/>
        <item x="317"/>
        <item x="122"/>
        <item x="331"/>
        <item x="416"/>
        <item x="262"/>
        <item x="345"/>
        <item x="449"/>
        <item x="135"/>
        <item x="37"/>
        <item x="94"/>
        <item x="150"/>
        <item x="121"/>
        <item x="247"/>
        <item x="448"/>
        <item x="178"/>
        <item x="261"/>
        <item x="402"/>
        <item x="149"/>
        <item x="52"/>
        <item x="465"/>
        <item x="93"/>
        <item x="58"/>
        <item x="464"/>
        <item x="184"/>
        <item x="177"/>
        <item x="401"/>
        <item x="128"/>
        <item x="51"/>
        <item x="80"/>
        <item x="212"/>
        <item x="79"/>
        <item x="268"/>
        <item x="360"/>
        <item x="296"/>
        <item x="380"/>
        <item x="100"/>
        <item x="282"/>
        <item x="491"/>
        <item x="324"/>
        <item x="394"/>
        <item x="425"/>
        <item x="226"/>
        <item x="366"/>
        <item x="72"/>
        <item x="359"/>
        <item x="114"/>
        <item x="198"/>
        <item x="4"/>
        <item x="409"/>
        <item x="473"/>
        <item x="86"/>
        <item x="310"/>
        <item x="338"/>
        <item x="170"/>
        <item x="156"/>
        <item x="17"/>
        <item x="44"/>
        <item x="59"/>
        <item x="254"/>
        <item x="240"/>
        <item x="30"/>
        <item x="129"/>
        <item x="185"/>
        <item x="352"/>
        <item x="101"/>
        <item x="457"/>
        <item x="73"/>
        <item x="269"/>
        <item x="283"/>
        <item x="381"/>
        <item x="297"/>
        <item x="213"/>
        <item x="492"/>
        <item x="325"/>
        <item x="426"/>
        <item x="227"/>
        <item x="142"/>
        <item x="115"/>
        <item x="367"/>
        <item x="395"/>
        <item x="87"/>
        <item x="157"/>
        <item x="171"/>
        <item x="410"/>
        <item x="474"/>
        <item x="339"/>
        <item x="199"/>
        <item x="311"/>
        <item x="5"/>
        <item x="45"/>
        <item x="18"/>
        <item x="441"/>
        <item x="241"/>
        <item x="255"/>
        <item x="31"/>
        <item x="458"/>
        <item x="353"/>
        <item x="143"/>
        <item x="44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>
      <items count="7">
        <item x="0"/>
        <item x="1"/>
        <item x="2"/>
        <item x="3"/>
        <item x="4"/>
        <item x="5"/>
        <item t="default"/>
      </items>
    </pivotField>
    <pivotField numFmtI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showDataAs="percentOfCol" baseField="1" baseItem="0" numFmtId="10"/>
  </dataFields>
  <formats count="4">
    <format dxfId="5">
      <pivotArea dataOnly="0" labelOnly="1" fieldPosition="0">
        <references count="1">
          <reference field="10" count="0"/>
        </references>
      </pivotArea>
    </format>
    <format dxfId="4">
      <pivotArea dataOnly="0" labelOnly="1" grandCol="1" outline="0" fieldPosition="0"/>
    </format>
    <format dxfId="3">
      <pivotArea outline="0" collapsedLevelsAreSubtotals="1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075AB-9D48-4F56-BD30-94F0CD88AA6F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4:H24" firstHeaderRow="1" firstDataRow="2" firstDataCol="1"/>
  <pivotFields count="11">
    <pivotField numFmtId="164" showAll="0"/>
    <pivotField axis="axisRow" showAll="0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</pivotField>
    <pivotField numFmtId="165" showAll="0"/>
    <pivotField dataField="1" numFmtId="165" showAll="0">
      <items count="505">
        <item x="500"/>
        <item x="35"/>
        <item x="501"/>
        <item x="63"/>
        <item x="483"/>
        <item x="482"/>
        <item x="49"/>
        <item x="91"/>
        <item x="56"/>
        <item x="468"/>
        <item x="486"/>
        <item x="70"/>
        <item x="420"/>
        <item x="436"/>
        <item x="77"/>
        <item x="418"/>
        <item x="105"/>
        <item x="434"/>
        <item x="112"/>
        <item x="28"/>
        <item x="84"/>
        <item x="196"/>
        <item x="182"/>
        <item x="119"/>
        <item x="133"/>
        <item x="452"/>
        <item x="98"/>
        <item x="15"/>
        <item x="147"/>
        <item x="502"/>
        <item x="81"/>
        <item x="67"/>
        <item x="364"/>
        <item x="403"/>
        <item x="266"/>
        <item x="450"/>
        <item x="126"/>
        <item x="210"/>
        <item x="484"/>
        <item x="2"/>
        <item x="193"/>
        <item x="42"/>
        <item x="95"/>
        <item x="466"/>
        <item x="322"/>
        <item x="280"/>
        <item x="294"/>
        <item x="217"/>
        <item x="165"/>
        <item x="140"/>
        <item x="231"/>
        <item x="137"/>
        <item x="25"/>
        <item x="224"/>
        <item x="392"/>
        <item x="203"/>
        <item x="12"/>
        <item x="39"/>
        <item x="168"/>
        <item x="489"/>
        <item x="123"/>
        <item x="378"/>
        <item x="308"/>
        <item x="471"/>
        <item x="154"/>
        <item x="151"/>
        <item x="62"/>
        <item x="407"/>
        <item x="273"/>
        <item x="189"/>
        <item x="161"/>
        <item x="90"/>
        <item x="249"/>
        <item x="207"/>
        <item x="188"/>
        <item x="8"/>
        <item x="34"/>
        <item x="329"/>
        <item x="315"/>
        <item x="423"/>
        <item x="287"/>
        <item x="21"/>
        <item x="76"/>
        <item x="245"/>
        <item x="202"/>
        <item x="132"/>
        <item x="305"/>
        <item x="252"/>
        <item x="235"/>
        <item x="53"/>
        <item x="109"/>
        <item x="238"/>
        <item x="399"/>
        <item x="277"/>
        <item x="333"/>
        <item x="221"/>
        <item x="371"/>
        <item x="175"/>
        <item x="404"/>
        <item x="414"/>
        <item x="259"/>
        <item x="179"/>
        <item x="319"/>
        <item x="118"/>
        <item x="160"/>
        <item x="230"/>
        <item x="385"/>
        <item x="291"/>
        <item x="430"/>
        <item x="350"/>
        <item x="216"/>
        <item x="286"/>
        <item x="455"/>
        <item x="146"/>
        <item x="439"/>
        <item x="503"/>
        <item x="357"/>
        <item x="263"/>
        <item x="389"/>
        <item x="478"/>
        <item x="419"/>
        <item x="300"/>
        <item x="244"/>
        <item x="272"/>
        <item x="328"/>
        <item x="104"/>
        <item x="375"/>
        <item x="435"/>
        <item x="347"/>
        <item x="301"/>
        <item x="343"/>
        <item x="485"/>
        <item x="314"/>
        <item x="451"/>
        <item x="336"/>
        <item x="361"/>
        <item x="48"/>
        <item x="174"/>
        <item x="429"/>
        <item x="398"/>
        <item x="384"/>
        <item x="495"/>
        <item x="370"/>
        <item x="446"/>
        <item x="496"/>
        <item x="477"/>
        <item x="258"/>
        <item x="413"/>
        <item x="462"/>
        <item x="64"/>
        <item x="445"/>
        <item x="467"/>
        <item x="342"/>
        <item x="57"/>
        <item x="356"/>
        <item x="78"/>
        <item x="99"/>
        <item x="3"/>
        <item x="92"/>
        <item x="120"/>
        <item x="190"/>
        <item x="71"/>
        <item x="330"/>
        <item x="232"/>
        <item x="113"/>
        <item x="148"/>
        <item x="204"/>
        <item x="218"/>
        <item x="29"/>
        <item x="141"/>
        <item x="9"/>
        <item x="134"/>
        <item x="288"/>
        <item x="127"/>
        <item x="22"/>
        <item x="197"/>
        <item x="82"/>
        <item x="211"/>
        <item x="43"/>
        <item x="106"/>
        <item x="162"/>
        <item x="16"/>
        <item x="400"/>
        <item x="0"/>
        <item x="68"/>
        <item x="274"/>
        <item x="225"/>
        <item x="302"/>
        <item x="85"/>
        <item x="461"/>
        <item x="415"/>
        <item x="61"/>
        <item x="124"/>
        <item x="246"/>
        <item x="180"/>
        <item x="386"/>
        <item x="316"/>
        <item x="372"/>
        <item x="497"/>
        <item x="344"/>
        <item x="431"/>
        <item x="36"/>
        <item x="281"/>
        <item x="194"/>
        <item x="13"/>
        <item x="20"/>
        <item x="208"/>
        <item x="138"/>
        <item x="103"/>
        <item x="309"/>
        <item x="267"/>
        <item x="222"/>
        <item x="54"/>
        <item x="75"/>
        <item x="117"/>
        <item x="320"/>
        <item x="176"/>
        <item x="292"/>
        <item x="479"/>
        <item x="26"/>
        <item x="89"/>
        <item x="278"/>
        <item x="421"/>
        <item x="152"/>
        <item x="323"/>
        <item x="33"/>
        <item x="447"/>
        <item x="169"/>
        <item x="7"/>
        <item x="295"/>
        <item x="379"/>
        <item x="264"/>
        <item x="155"/>
        <item x="96"/>
        <item x="393"/>
        <item x="365"/>
        <item x="260"/>
        <item x="408"/>
        <item x="362"/>
        <item x="306"/>
        <item x="131"/>
        <item x="110"/>
        <item x="487"/>
        <item x="239"/>
        <item x="390"/>
        <item x="472"/>
        <item x="424"/>
        <item x="463"/>
        <item x="490"/>
        <item x="405"/>
        <item x="40"/>
        <item x="236"/>
        <item x="187"/>
        <item x="201"/>
        <item x="159"/>
        <item x="358"/>
        <item x="334"/>
        <item x="229"/>
        <item x="50"/>
        <item x="376"/>
        <item x="271"/>
        <item x="437"/>
        <item x="145"/>
        <item x="253"/>
        <item x="440"/>
        <item x="215"/>
        <item x="166"/>
        <item x="285"/>
        <item x="351"/>
        <item x="250"/>
        <item x="337"/>
        <item x="369"/>
        <item x="469"/>
        <item x="173"/>
        <item x="299"/>
        <item x="383"/>
        <item x="348"/>
        <item x="456"/>
        <item x="397"/>
        <item x="243"/>
        <item x="412"/>
        <item x="327"/>
        <item x="494"/>
        <item x="355"/>
        <item x="428"/>
        <item x="183"/>
        <item x="313"/>
        <item x="453"/>
        <item x="476"/>
        <item x="257"/>
        <item x="444"/>
        <item x="60"/>
        <item x="47"/>
        <item x="460"/>
        <item x="341"/>
        <item x="186"/>
        <item x="144"/>
        <item x="228"/>
        <item x="116"/>
        <item x="200"/>
        <item x="55"/>
        <item x="88"/>
        <item x="382"/>
        <item x="102"/>
        <item x="284"/>
        <item x="493"/>
        <item x="326"/>
        <item x="396"/>
        <item x="340"/>
        <item x="270"/>
        <item x="411"/>
        <item x="223"/>
        <item x="368"/>
        <item x="427"/>
        <item x="111"/>
        <item x="298"/>
        <item x="130"/>
        <item x="74"/>
        <item x="153"/>
        <item x="6"/>
        <item x="139"/>
        <item x="242"/>
        <item x="214"/>
        <item x="195"/>
        <item x="181"/>
        <item x="363"/>
        <item x="19"/>
        <item x="475"/>
        <item x="125"/>
        <item x="279"/>
        <item x="321"/>
        <item x="422"/>
        <item x="83"/>
        <item x="377"/>
        <item x="256"/>
        <item x="391"/>
        <item x="406"/>
        <item x="265"/>
        <item x="293"/>
        <item x="32"/>
        <item x="488"/>
        <item x="237"/>
        <item x="97"/>
        <item x="209"/>
        <item x="69"/>
        <item x="27"/>
        <item x="46"/>
        <item x="312"/>
        <item x="1"/>
        <item x="354"/>
        <item x="14"/>
        <item x="443"/>
        <item x="307"/>
        <item x="158"/>
        <item x="438"/>
        <item x="167"/>
        <item x="470"/>
        <item x="251"/>
        <item x="172"/>
        <item x="335"/>
        <item x="349"/>
        <item x="41"/>
        <item x="459"/>
        <item x="454"/>
        <item x="192"/>
        <item x="191"/>
        <item x="164"/>
        <item x="276"/>
        <item x="66"/>
        <item x="234"/>
        <item x="206"/>
        <item x="220"/>
        <item x="499"/>
        <item x="374"/>
        <item x="205"/>
        <item x="163"/>
        <item x="219"/>
        <item x="498"/>
        <item x="275"/>
        <item x="433"/>
        <item x="65"/>
        <item x="388"/>
        <item x="290"/>
        <item x="233"/>
        <item x="373"/>
        <item x="11"/>
        <item x="289"/>
        <item x="432"/>
        <item x="387"/>
        <item x="304"/>
        <item x="481"/>
        <item x="346"/>
        <item x="24"/>
        <item x="108"/>
        <item x="417"/>
        <item x="332"/>
        <item x="10"/>
        <item x="318"/>
        <item x="136"/>
        <item x="480"/>
        <item x="23"/>
        <item x="38"/>
        <item x="248"/>
        <item x="107"/>
        <item x="303"/>
        <item x="317"/>
        <item x="122"/>
        <item x="331"/>
        <item x="416"/>
        <item x="262"/>
        <item x="345"/>
        <item x="449"/>
        <item x="135"/>
        <item x="37"/>
        <item x="94"/>
        <item x="150"/>
        <item x="121"/>
        <item x="247"/>
        <item x="448"/>
        <item x="178"/>
        <item x="261"/>
        <item x="402"/>
        <item x="149"/>
        <item x="52"/>
        <item x="465"/>
        <item x="93"/>
        <item x="58"/>
        <item x="464"/>
        <item x="184"/>
        <item x="177"/>
        <item x="401"/>
        <item x="128"/>
        <item x="51"/>
        <item x="80"/>
        <item x="212"/>
        <item x="79"/>
        <item x="268"/>
        <item x="360"/>
        <item x="296"/>
        <item x="380"/>
        <item x="100"/>
        <item x="282"/>
        <item x="491"/>
        <item x="324"/>
        <item x="394"/>
        <item x="425"/>
        <item x="226"/>
        <item x="366"/>
        <item x="72"/>
        <item x="359"/>
        <item x="114"/>
        <item x="198"/>
        <item x="4"/>
        <item x="409"/>
        <item x="473"/>
        <item x="86"/>
        <item x="310"/>
        <item x="338"/>
        <item x="170"/>
        <item x="156"/>
        <item x="17"/>
        <item x="44"/>
        <item x="59"/>
        <item x="254"/>
        <item x="240"/>
        <item x="30"/>
        <item x="129"/>
        <item x="185"/>
        <item x="352"/>
        <item x="101"/>
        <item x="457"/>
        <item x="73"/>
        <item x="269"/>
        <item x="283"/>
        <item x="381"/>
        <item x="297"/>
        <item x="213"/>
        <item x="492"/>
        <item x="325"/>
        <item x="426"/>
        <item x="227"/>
        <item x="142"/>
        <item x="115"/>
        <item x="367"/>
        <item x="395"/>
        <item x="87"/>
        <item x="157"/>
        <item x="171"/>
        <item x="410"/>
        <item x="474"/>
        <item x="339"/>
        <item x="199"/>
        <item x="311"/>
        <item x="5"/>
        <item x="45"/>
        <item x="18"/>
        <item x="441"/>
        <item x="241"/>
        <item x="255"/>
        <item x="31"/>
        <item x="458"/>
        <item x="353"/>
        <item x="143"/>
        <item x="442"/>
        <item t="default"/>
      </items>
    </pivotField>
    <pivotField numFmtId="165" showAll="0"/>
    <pivotField numFmtId="165" showAll="0"/>
    <pivotField numFmtId="165" showAll="0"/>
    <pivotField numFmtId="165" showAll="0"/>
    <pivotField numFmtId="165" showAll="0"/>
    <pivotField numFmtI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, руб" fld="3" baseField="0" baseItem="0" numFmtId="167"/>
  </dataFields>
  <formats count="4">
    <format dxfId="9">
      <pivotArea dataOnly="0" labelOnly="1" fieldPosition="0">
        <references count="1">
          <reference field="10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/>
    </format>
    <format dxfId="6">
      <pivotArea field="10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6A397-6F17-4F19-82F1-855373F3048D}" name="Сводная таблица3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52:H72" firstHeaderRow="1" firstDataRow="2" firstDataCol="1"/>
  <pivotFields count="11">
    <pivotField numFmtId="164" showAll="0"/>
    <pivotField axis="axisRow" showAll="0">
      <items count="19">
        <item x="6"/>
        <item x="1"/>
        <item x="7"/>
        <item x="0"/>
        <item x="9"/>
        <item x="11"/>
        <item x="10"/>
        <item x="3"/>
        <item x="12"/>
        <item x="8"/>
        <item x="13"/>
        <item x="15"/>
        <item x="5"/>
        <item x="4"/>
        <item x="2"/>
        <item x="16"/>
        <item x="14"/>
        <item x="17"/>
        <item t="default"/>
      </items>
    </pivotField>
    <pivotField numFmtId="165" showAll="0"/>
    <pivotField numFmtId="165" showAll="0">
      <items count="505">
        <item x="500"/>
        <item x="35"/>
        <item x="501"/>
        <item x="63"/>
        <item x="483"/>
        <item x="482"/>
        <item x="49"/>
        <item x="91"/>
        <item x="56"/>
        <item x="468"/>
        <item x="486"/>
        <item x="70"/>
        <item x="420"/>
        <item x="436"/>
        <item x="77"/>
        <item x="418"/>
        <item x="105"/>
        <item x="434"/>
        <item x="112"/>
        <item x="28"/>
        <item x="84"/>
        <item x="196"/>
        <item x="182"/>
        <item x="119"/>
        <item x="133"/>
        <item x="452"/>
        <item x="98"/>
        <item x="15"/>
        <item x="147"/>
        <item x="502"/>
        <item x="81"/>
        <item x="67"/>
        <item x="364"/>
        <item x="403"/>
        <item x="266"/>
        <item x="450"/>
        <item x="126"/>
        <item x="210"/>
        <item x="484"/>
        <item x="2"/>
        <item x="193"/>
        <item x="42"/>
        <item x="95"/>
        <item x="466"/>
        <item x="322"/>
        <item x="280"/>
        <item x="294"/>
        <item x="217"/>
        <item x="165"/>
        <item x="140"/>
        <item x="231"/>
        <item x="137"/>
        <item x="25"/>
        <item x="224"/>
        <item x="392"/>
        <item x="203"/>
        <item x="12"/>
        <item x="39"/>
        <item x="168"/>
        <item x="489"/>
        <item x="123"/>
        <item x="378"/>
        <item x="308"/>
        <item x="471"/>
        <item x="154"/>
        <item x="151"/>
        <item x="62"/>
        <item x="407"/>
        <item x="273"/>
        <item x="189"/>
        <item x="161"/>
        <item x="90"/>
        <item x="249"/>
        <item x="207"/>
        <item x="188"/>
        <item x="8"/>
        <item x="34"/>
        <item x="329"/>
        <item x="315"/>
        <item x="423"/>
        <item x="287"/>
        <item x="21"/>
        <item x="76"/>
        <item x="245"/>
        <item x="202"/>
        <item x="132"/>
        <item x="305"/>
        <item x="252"/>
        <item x="235"/>
        <item x="53"/>
        <item x="109"/>
        <item x="238"/>
        <item x="399"/>
        <item x="277"/>
        <item x="333"/>
        <item x="221"/>
        <item x="371"/>
        <item x="175"/>
        <item x="404"/>
        <item x="414"/>
        <item x="259"/>
        <item x="179"/>
        <item x="319"/>
        <item x="118"/>
        <item x="160"/>
        <item x="230"/>
        <item x="385"/>
        <item x="291"/>
        <item x="430"/>
        <item x="350"/>
        <item x="216"/>
        <item x="286"/>
        <item x="455"/>
        <item x="146"/>
        <item x="439"/>
        <item x="503"/>
        <item x="357"/>
        <item x="263"/>
        <item x="389"/>
        <item x="478"/>
        <item x="419"/>
        <item x="300"/>
        <item x="244"/>
        <item x="272"/>
        <item x="328"/>
        <item x="104"/>
        <item x="375"/>
        <item x="435"/>
        <item x="347"/>
        <item x="301"/>
        <item x="343"/>
        <item x="485"/>
        <item x="314"/>
        <item x="451"/>
        <item x="336"/>
        <item x="361"/>
        <item x="48"/>
        <item x="174"/>
        <item x="429"/>
        <item x="398"/>
        <item x="384"/>
        <item x="495"/>
        <item x="370"/>
        <item x="446"/>
        <item x="496"/>
        <item x="477"/>
        <item x="258"/>
        <item x="413"/>
        <item x="462"/>
        <item x="64"/>
        <item x="445"/>
        <item x="467"/>
        <item x="342"/>
        <item x="57"/>
        <item x="356"/>
        <item x="78"/>
        <item x="99"/>
        <item x="3"/>
        <item x="92"/>
        <item x="120"/>
        <item x="190"/>
        <item x="71"/>
        <item x="330"/>
        <item x="232"/>
        <item x="113"/>
        <item x="148"/>
        <item x="204"/>
        <item x="218"/>
        <item x="29"/>
        <item x="141"/>
        <item x="9"/>
        <item x="134"/>
        <item x="288"/>
        <item x="127"/>
        <item x="22"/>
        <item x="197"/>
        <item x="82"/>
        <item x="211"/>
        <item x="43"/>
        <item x="106"/>
        <item x="162"/>
        <item x="16"/>
        <item x="400"/>
        <item x="0"/>
        <item x="68"/>
        <item x="274"/>
        <item x="225"/>
        <item x="302"/>
        <item x="85"/>
        <item x="461"/>
        <item x="415"/>
        <item x="61"/>
        <item x="124"/>
        <item x="246"/>
        <item x="180"/>
        <item x="386"/>
        <item x="316"/>
        <item x="372"/>
        <item x="497"/>
        <item x="344"/>
        <item x="431"/>
        <item x="36"/>
        <item x="281"/>
        <item x="194"/>
        <item x="13"/>
        <item x="20"/>
        <item x="208"/>
        <item x="138"/>
        <item x="103"/>
        <item x="309"/>
        <item x="267"/>
        <item x="222"/>
        <item x="54"/>
        <item x="75"/>
        <item x="117"/>
        <item x="320"/>
        <item x="176"/>
        <item x="292"/>
        <item x="479"/>
        <item x="26"/>
        <item x="89"/>
        <item x="278"/>
        <item x="421"/>
        <item x="152"/>
        <item x="323"/>
        <item x="33"/>
        <item x="447"/>
        <item x="169"/>
        <item x="7"/>
        <item x="295"/>
        <item x="379"/>
        <item x="264"/>
        <item x="155"/>
        <item x="96"/>
        <item x="393"/>
        <item x="365"/>
        <item x="260"/>
        <item x="408"/>
        <item x="362"/>
        <item x="306"/>
        <item x="131"/>
        <item x="110"/>
        <item x="487"/>
        <item x="239"/>
        <item x="390"/>
        <item x="472"/>
        <item x="424"/>
        <item x="463"/>
        <item x="490"/>
        <item x="405"/>
        <item x="40"/>
        <item x="236"/>
        <item x="187"/>
        <item x="201"/>
        <item x="159"/>
        <item x="358"/>
        <item x="334"/>
        <item x="229"/>
        <item x="50"/>
        <item x="376"/>
        <item x="271"/>
        <item x="437"/>
        <item x="145"/>
        <item x="253"/>
        <item x="440"/>
        <item x="215"/>
        <item x="166"/>
        <item x="285"/>
        <item x="351"/>
        <item x="250"/>
        <item x="337"/>
        <item x="369"/>
        <item x="469"/>
        <item x="173"/>
        <item x="299"/>
        <item x="383"/>
        <item x="348"/>
        <item x="456"/>
        <item x="397"/>
        <item x="243"/>
        <item x="412"/>
        <item x="327"/>
        <item x="494"/>
        <item x="355"/>
        <item x="428"/>
        <item x="183"/>
        <item x="313"/>
        <item x="453"/>
        <item x="476"/>
        <item x="257"/>
        <item x="444"/>
        <item x="60"/>
        <item x="47"/>
        <item x="460"/>
        <item x="341"/>
        <item x="186"/>
        <item x="144"/>
        <item x="228"/>
        <item x="116"/>
        <item x="200"/>
        <item x="55"/>
        <item x="88"/>
        <item x="382"/>
        <item x="102"/>
        <item x="284"/>
        <item x="493"/>
        <item x="326"/>
        <item x="396"/>
        <item x="340"/>
        <item x="270"/>
        <item x="411"/>
        <item x="223"/>
        <item x="368"/>
        <item x="427"/>
        <item x="111"/>
        <item x="298"/>
        <item x="130"/>
        <item x="74"/>
        <item x="153"/>
        <item x="6"/>
        <item x="139"/>
        <item x="242"/>
        <item x="214"/>
        <item x="195"/>
        <item x="181"/>
        <item x="363"/>
        <item x="19"/>
        <item x="475"/>
        <item x="125"/>
        <item x="279"/>
        <item x="321"/>
        <item x="422"/>
        <item x="83"/>
        <item x="377"/>
        <item x="256"/>
        <item x="391"/>
        <item x="406"/>
        <item x="265"/>
        <item x="293"/>
        <item x="32"/>
        <item x="488"/>
        <item x="237"/>
        <item x="97"/>
        <item x="209"/>
        <item x="69"/>
        <item x="27"/>
        <item x="46"/>
        <item x="312"/>
        <item x="1"/>
        <item x="354"/>
        <item x="14"/>
        <item x="443"/>
        <item x="307"/>
        <item x="158"/>
        <item x="438"/>
        <item x="167"/>
        <item x="470"/>
        <item x="251"/>
        <item x="172"/>
        <item x="335"/>
        <item x="349"/>
        <item x="41"/>
        <item x="459"/>
        <item x="454"/>
        <item x="192"/>
        <item x="191"/>
        <item x="164"/>
        <item x="276"/>
        <item x="66"/>
        <item x="234"/>
        <item x="206"/>
        <item x="220"/>
        <item x="499"/>
        <item x="374"/>
        <item x="205"/>
        <item x="163"/>
        <item x="219"/>
        <item x="498"/>
        <item x="275"/>
        <item x="433"/>
        <item x="65"/>
        <item x="388"/>
        <item x="290"/>
        <item x="233"/>
        <item x="373"/>
        <item x="11"/>
        <item x="289"/>
        <item x="432"/>
        <item x="387"/>
        <item x="304"/>
        <item x="481"/>
        <item x="346"/>
        <item x="24"/>
        <item x="108"/>
        <item x="417"/>
        <item x="332"/>
        <item x="10"/>
        <item x="318"/>
        <item x="136"/>
        <item x="480"/>
        <item x="23"/>
        <item x="38"/>
        <item x="248"/>
        <item x="107"/>
        <item x="303"/>
        <item x="317"/>
        <item x="122"/>
        <item x="331"/>
        <item x="416"/>
        <item x="262"/>
        <item x="345"/>
        <item x="449"/>
        <item x="135"/>
        <item x="37"/>
        <item x="94"/>
        <item x="150"/>
        <item x="121"/>
        <item x="247"/>
        <item x="448"/>
        <item x="178"/>
        <item x="261"/>
        <item x="402"/>
        <item x="149"/>
        <item x="52"/>
        <item x="465"/>
        <item x="93"/>
        <item x="58"/>
        <item x="464"/>
        <item x="184"/>
        <item x="177"/>
        <item x="401"/>
        <item x="128"/>
        <item x="51"/>
        <item x="80"/>
        <item x="212"/>
        <item x="79"/>
        <item x="268"/>
        <item x="360"/>
        <item x="296"/>
        <item x="380"/>
        <item x="100"/>
        <item x="282"/>
        <item x="491"/>
        <item x="324"/>
        <item x="394"/>
        <item x="425"/>
        <item x="226"/>
        <item x="366"/>
        <item x="72"/>
        <item x="359"/>
        <item x="114"/>
        <item x="198"/>
        <item x="4"/>
        <item x="409"/>
        <item x="473"/>
        <item x="86"/>
        <item x="310"/>
        <item x="338"/>
        <item x="170"/>
        <item x="156"/>
        <item x="17"/>
        <item x="44"/>
        <item x="59"/>
        <item x="254"/>
        <item x="240"/>
        <item x="30"/>
        <item x="129"/>
        <item x="185"/>
        <item x="352"/>
        <item x="101"/>
        <item x="457"/>
        <item x="73"/>
        <item x="269"/>
        <item x="283"/>
        <item x="381"/>
        <item x="297"/>
        <item x="213"/>
        <item x="492"/>
        <item x="325"/>
        <item x="426"/>
        <item x="227"/>
        <item x="142"/>
        <item x="115"/>
        <item x="367"/>
        <item x="395"/>
        <item x="87"/>
        <item x="157"/>
        <item x="171"/>
        <item x="410"/>
        <item x="474"/>
        <item x="339"/>
        <item x="199"/>
        <item x="311"/>
        <item x="5"/>
        <item x="45"/>
        <item x="18"/>
        <item x="441"/>
        <item x="241"/>
        <item x="255"/>
        <item x="31"/>
        <item x="458"/>
        <item x="353"/>
        <item x="143"/>
        <item x="442"/>
        <item t="default"/>
      </items>
    </pivotField>
    <pivotField numFmtId="165" showAll="0"/>
    <pivotField numFmtId="165" showAll="0"/>
    <pivotField numFmtId="165" showAll="0"/>
    <pivotField dataField="1" numFmtId="165" showAll="0"/>
    <pivotField numFmtId="165" showAll="0">
      <items count="7">
        <item x="0"/>
        <item x="1"/>
        <item x="2"/>
        <item x="3"/>
        <item x="4"/>
        <item x="5"/>
        <item t="default"/>
      </items>
    </pivotField>
    <pivotField numFmtI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Сумма по полю Товарооборот на склад" fld="7" baseField="0" baseItem="0"/>
  </dataFields>
  <formats count="3">
    <format dxfId="12">
      <pivotArea dataOnly="0" labelOnly="1" fieldPosition="0">
        <references count="1">
          <reference field="10" count="0"/>
        </references>
      </pivotArea>
    </format>
    <format dxfId="11">
      <pivotArea dataOnly="0" labelOnly="1" grandCol="1" outline="0" fieldPosition="0"/>
    </format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453125" defaultRowHeight="15" customHeight="1" x14ac:dyDescent="0.35"/>
  <cols>
    <col min="1" max="1" width="9.90625" style="6" bestFit="1" customWidth="1"/>
    <col min="2" max="2" width="21.26953125" style="6" bestFit="1" customWidth="1"/>
    <col min="3" max="3" width="15" style="6" customWidth="1"/>
    <col min="4" max="4" width="15.26953125" style="6" customWidth="1"/>
    <col min="5" max="7" width="15.453125" style="6" bestFit="1" customWidth="1"/>
    <col min="8" max="8" width="13.453125" style="6" customWidth="1"/>
    <col min="9" max="9" width="11.90625" style="46" bestFit="1" customWidth="1"/>
    <col min="10" max="10" width="11.90625" style="6" customWidth="1"/>
    <col min="11" max="11" width="20.1796875" style="6" bestFit="1" customWidth="1"/>
    <col min="12" max="25" width="8.7265625" style="6" customWidth="1"/>
  </cols>
  <sheetData>
    <row r="1" spans="1:25" ht="45" customHeigh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42" t="s">
        <v>60</v>
      </c>
      <c r="J1" s="29" t="s">
        <v>53</v>
      </c>
      <c r="K1" s="32" t="s">
        <v>61</v>
      </c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35">
      <c r="A2" s="9">
        <v>43982</v>
      </c>
      <c r="B2" s="2" t="s">
        <v>9</v>
      </c>
      <c r="C2" s="10">
        <v>7944</v>
      </c>
      <c r="D2" s="10">
        <v>623971.5</v>
      </c>
      <c r="E2" s="10">
        <f>SUMIFS(Лист2!$C:$C,Лист2!$A:$A,$A2,Лист2!$B:$B,$B2)</f>
        <v>15</v>
      </c>
      <c r="F2" s="10">
        <f>SUMIFS(Лист2!$D:$D,Лист2!$A:$A,$A2,Лист2!$B:$B,$B2)</f>
        <v>441</v>
      </c>
      <c r="G2" s="10">
        <f>SUMIFS(Лист2!$E:$E,Лист2!$A:$A,$A2,Лист2!$B:$B,$B2)</f>
        <v>368</v>
      </c>
      <c r="H2" s="10">
        <f t="shared" ref="H2:H65" si="0">IFERROR($D2/$E2,0)</f>
        <v>41598.1</v>
      </c>
      <c r="I2" s="43">
        <f t="shared" ref="I2:I65" si="1">WEEKNUM($A2,21)</f>
        <v>22</v>
      </c>
      <c r="J2" s="30">
        <v>1</v>
      </c>
      <c r="K2" s="30" t="s">
        <v>58</v>
      </c>
      <c r="L2" s="8"/>
    </row>
    <row r="3" spans="1:25" ht="14.25" customHeight="1" x14ac:dyDescent="0.35">
      <c r="A3" s="11">
        <v>43981</v>
      </c>
      <c r="B3" s="4" t="s">
        <v>9</v>
      </c>
      <c r="C3" s="12">
        <v>10029</v>
      </c>
      <c r="D3" s="12">
        <v>787101</v>
      </c>
      <c r="E3" s="12">
        <f>SUMIFS(Лист2!$C:$C,Лист2!$A:$A,$A3,Лист2!$B:$B,$B3)</f>
        <v>15</v>
      </c>
      <c r="F3" s="12">
        <f>SUMIFS(Лист2!$D:$D,Лист2!$A:$A,$A3,Лист2!$B:$B,$B3)</f>
        <v>490</v>
      </c>
      <c r="G3" s="12">
        <f>SUMIFS(Лист2!$E:$E,Лист2!$A:$A,$A3,Лист2!$B:$B,$B3)</f>
        <v>409</v>
      </c>
      <c r="H3" s="12">
        <f t="shared" si="0"/>
        <v>52473.4</v>
      </c>
      <c r="I3" s="44">
        <f t="shared" si="1"/>
        <v>22</v>
      </c>
      <c r="J3" s="31">
        <v>2</v>
      </c>
      <c r="K3" s="31" t="s">
        <v>58</v>
      </c>
    </row>
    <row r="4" spans="1:25" ht="14.25" customHeight="1" x14ac:dyDescent="0.35">
      <c r="A4" s="9">
        <v>43979</v>
      </c>
      <c r="B4" s="2" t="s">
        <v>9</v>
      </c>
      <c r="C4" s="10">
        <v>8536.5</v>
      </c>
      <c r="D4" s="10">
        <v>643944</v>
      </c>
      <c r="E4" s="10">
        <f>SUMIFS(Лист2!$C:$C,Лист2!$A:$A,$A4,Лист2!$B:$B,$B4)</f>
        <v>15</v>
      </c>
      <c r="F4" s="10">
        <f>SUMIFS(Лист2!$D:$D,Лист2!$A:$A,$A4,Лист2!$B:$B,$B4)</f>
        <v>464</v>
      </c>
      <c r="G4" s="10">
        <f>SUMIFS(Лист2!$E:$E,Лист2!$A:$A,$A4,Лист2!$B:$B,$B4)</f>
        <v>390</v>
      </c>
      <c r="H4" s="10">
        <f t="shared" si="0"/>
        <v>42929.599999999999</v>
      </c>
      <c r="I4" s="43">
        <f t="shared" si="1"/>
        <v>22</v>
      </c>
      <c r="J4" s="30">
        <v>3</v>
      </c>
      <c r="K4" s="30" t="s">
        <v>58</v>
      </c>
    </row>
    <row r="5" spans="1:25" ht="14.25" customHeight="1" x14ac:dyDescent="0.35">
      <c r="A5" s="11">
        <v>43967</v>
      </c>
      <c r="B5" s="4" t="s">
        <v>10</v>
      </c>
      <c r="C5" s="12">
        <v>38947.5</v>
      </c>
      <c r="D5" s="12">
        <v>3395892</v>
      </c>
      <c r="E5" s="12">
        <f>SUMIFS(Лист2!$C:$C,Лист2!$A:$A,$A5,Лист2!$B:$B,$B5)</f>
        <v>21</v>
      </c>
      <c r="F5" s="12">
        <f>SUMIFS(Лист2!$D:$D,Лист2!$A:$A,$A5,Лист2!$B:$B,$B5)</f>
        <v>2145</v>
      </c>
      <c r="G5" s="12">
        <f>SUMIFS(Лист2!$E:$E,Лист2!$A:$A,$A5,Лист2!$B:$B,$B5)</f>
        <v>1947</v>
      </c>
      <c r="H5" s="12">
        <f t="shared" si="0"/>
        <v>161709.14285714287</v>
      </c>
      <c r="I5" s="44">
        <f t="shared" si="1"/>
        <v>20</v>
      </c>
      <c r="J5" s="31">
        <v>4</v>
      </c>
      <c r="K5" s="31" t="s">
        <v>56</v>
      </c>
    </row>
    <row r="6" spans="1:25" ht="14.25" customHeight="1" x14ac:dyDescent="0.35">
      <c r="A6" s="9">
        <v>43970</v>
      </c>
      <c r="B6" s="2" t="s">
        <v>10</v>
      </c>
      <c r="C6" s="10">
        <v>31842</v>
      </c>
      <c r="D6" s="10">
        <v>2771116.5</v>
      </c>
      <c r="E6" s="10">
        <f>SUMIFS(Лист2!$C:$C,Лист2!$A:$A,$A6,Лист2!$B:$B,$B6)</f>
        <v>21</v>
      </c>
      <c r="F6" s="10">
        <f>SUMIFS(Лист2!$D:$D,Лист2!$A:$A,$A6,Лист2!$B:$B,$B6)</f>
        <v>1860</v>
      </c>
      <c r="G6" s="10">
        <f>SUMIFS(Лист2!$E:$E,Лист2!$A:$A,$A6,Лист2!$B:$B,$B6)</f>
        <v>1704</v>
      </c>
      <c r="H6" s="10">
        <f t="shared" si="0"/>
        <v>131957.92857142858</v>
      </c>
      <c r="I6" s="43">
        <f t="shared" si="1"/>
        <v>21</v>
      </c>
      <c r="J6" s="30">
        <v>5</v>
      </c>
      <c r="K6" s="30" t="s">
        <v>57</v>
      </c>
    </row>
    <row r="7" spans="1:25" ht="14.25" customHeight="1" x14ac:dyDescent="0.35">
      <c r="A7" s="11">
        <v>43968</v>
      </c>
      <c r="B7" s="4" t="s">
        <v>10</v>
      </c>
      <c r="C7" s="12">
        <v>32023.5</v>
      </c>
      <c r="D7" s="12">
        <v>2882458.5</v>
      </c>
      <c r="E7" s="12">
        <f>SUMIFS(Лист2!$C:$C,Лист2!$A:$A,$A7,Лист2!$B:$B,$B7)</f>
        <v>21</v>
      </c>
      <c r="F7" s="12">
        <f>SUMIFS(Лист2!$D:$D,Лист2!$A:$A,$A7,Лист2!$B:$B,$B7)</f>
        <v>1874</v>
      </c>
      <c r="G7" s="12">
        <f>SUMIFS(Лист2!$E:$E,Лист2!$A:$A,$A7,Лист2!$B:$B,$B7)</f>
        <v>1705</v>
      </c>
      <c r="H7" s="12">
        <f t="shared" si="0"/>
        <v>137259.92857142858</v>
      </c>
      <c r="I7" s="44">
        <f t="shared" si="1"/>
        <v>20</v>
      </c>
      <c r="J7" s="31">
        <v>6</v>
      </c>
      <c r="K7" s="31" t="s">
        <v>56</v>
      </c>
    </row>
    <row r="8" spans="1:25" ht="14.25" customHeight="1" x14ac:dyDescent="0.35">
      <c r="A8" s="9">
        <v>43960</v>
      </c>
      <c r="B8" s="2" t="s">
        <v>10</v>
      </c>
      <c r="C8" s="10">
        <v>31147.5</v>
      </c>
      <c r="D8" s="10">
        <v>2831019</v>
      </c>
      <c r="E8" s="10">
        <f>SUMIFS(Лист2!$C:$C,Лист2!$A:$A,$A8,Лист2!$B:$B,$B8)</f>
        <v>21</v>
      </c>
      <c r="F8" s="10">
        <f>SUMIFS(Лист2!$D:$D,Лист2!$A:$A,$A8,Лист2!$B:$B,$B8)</f>
        <v>1735</v>
      </c>
      <c r="G8" s="10">
        <f>SUMIFS(Лист2!$E:$E,Лист2!$A:$A,$A8,Лист2!$B:$B,$B8)</f>
        <v>1568</v>
      </c>
      <c r="H8" s="10">
        <f t="shared" si="0"/>
        <v>134810.42857142858</v>
      </c>
      <c r="I8" s="43">
        <f t="shared" si="1"/>
        <v>19</v>
      </c>
      <c r="J8" s="30">
        <v>7</v>
      </c>
      <c r="K8" s="30" t="s">
        <v>55</v>
      </c>
    </row>
    <row r="9" spans="1:25" ht="14.25" customHeight="1" x14ac:dyDescent="0.35">
      <c r="A9" s="11">
        <v>43955</v>
      </c>
      <c r="B9" s="4" t="s">
        <v>10</v>
      </c>
      <c r="C9" s="12">
        <v>25566</v>
      </c>
      <c r="D9" s="12">
        <v>2372310</v>
      </c>
      <c r="E9" s="12">
        <f>SUMIFS(Лист2!$C:$C,Лист2!$A:$A,$A9,Лист2!$B:$B,$B9)</f>
        <v>20</v>
      </c>
      <c r="F9" s="12">
        <f>SUMIFS(Лист2!$D:$D,Лист2!$A:$A,$A9,Лист2!$B:$B,$B9)</f>
        <v>1519</v>
      </c>
      <c r="G9" s="12">
        <f>SUMIFS(Лист2!$E:$E,Лист2!$A:$A,$A9,Лист2!$B:$B,$B9)</f>
        <v>1372</v>
      </c>
      <c r="H9" s="12">
        <f t="shared" si="0"/>
        <v>118615.5</v>
      </c>
      <c r="I9" s="44">
        <f t="shared" si="1"/>
        <v>19</v>
      </c>
      <c r="J9" s="31">
        <v>8</v>
      </c>
      <c r="K9" s="31" t="s">
        <v>55</v>
      </c>
    </row>
    <row r="10" spans="1:25" ht="14.25" customHeight="1" x14ac:dyDescent="0.35">
      <c r="A10" s="9">
        <v>43950</v>
      </c>
      <c r="B10" s="2" t="s">
        <v>10</v>
      </c>
      <c r="C10" s="10">
        <v>29319</v>
      </c>
      <c r="D10" s="10">
        <v>2623480.5</v>
      </c>
      <c r="E10" s="10">
        <f>SUMIFS(Лист2!$C:$C,Лист2!$A:$A,$A10,Лист2!$B:$B,$B10)</f>
        <v>18</v>
      </c>
      <c r="F10" s="10">
        <f>SUMIFS(Лист2!$D:$D,Лист2!$A:$A,$A10,Лист2!$B:$B,$B10)</f>
        <v>1684</v>
      </c>
      <c r="G10" s="10">
        <f>SUMIFS(Лист2!$E:$E,Лист2!$A:$A,$A10,Лист2!$B:$B,$B10)</f>
        <v>1528</v>
      </c>
      <c r="H10" s="10">
        <f t="shared" si="0"/>
        <v>145748.91666666666</v>
      </c>
      <c r="I10" s="43">
        <f t="shared" si="1"/>
        <v>18</v>
      </c>
      <c r="J10" s="30">
        <v>9</v>
      </c>
      <c r="K10" s="30" t="s">
        <v>54</v>
      </c>
    </row>
    <row r="11" spans="1:25" ht="14.25" customHeight="1" x14ac:dyDescent="0.35">
      <c r="A11" s="11">
        <v>43953</v>
      </c>
      <c r="B11" s="4" t="s">
        <v>10</v>
      </c>
      <c r="C11" s="12">
        <v>29031</v>
      </c>
      <c r="D11" s="12">
        <v>2711247</v>
      </c>
      <c r="E11" s="12">
        <f>SUMIFS(Лист2!$C:$C,Лист2!$A:$A,$A11,Лист2!$B:$B,$B11)</f>
        <v>18</v>
      </c>
      <c r="F11" s="12">
        <f>SUMIFS(Лист2!$D:$D,Лист2!$A:$A,$A11,Лист2!$B:$B,$B11)</f>
        <v>1708</v>
      </c>
      <c r="G11" s="12">
        <f>SUMIFS(Лист2!$E:$E,Лист2!$A:$A,$A11,Лист2!$B:$B,$B11)</f>
        <v>1534</v>
      </c>
      <c r="H11" s="12">
        <f t="shared" si="0"/>
        <v>150624.83333333334</v>
      </c>
      <c r="I11" s="44">
        <f t="shared" si="1"/>
        <v>18</v>
      </c>
      <c r="J11" s="31">
        <v>10</v>
      </c>
      <c r="K11" s="31" t="s">
        <v>54</v>
      </c>
    </row>
    <row r="12" spans="1:25" ht="14.25" customHeight="1" x14ac:dyDescent="0.35">
      <c r="A12" s="9">
        <v>43977</v>
      </c>
      <c r="B12" s="2" t="s">
        <v>10</v>
      </c>
      <c r="C12" s="10">
        <v>33423</v>
      </c>
      <c r="D12" s="10">
        <v>2970330</v>
      </c>
      <c r="E12" s="10">
        <f>SUMIFS(Лист2!$C:$C,Лист2!$A:$A,$A12,Лист2!$B:$B,$B12)</f>
        <v>20</v>
      </c>
      <c r="F12" s="10">
        <f>SUMIFS(Лист2!$D:$D,Лист2!$A:$A,$A12,Лист2!$B:$B,$B12)</f>
        <v>2044</v>
      </c>
      <c r="G12" s="10">
        <f>SUMIFS(Лист2!$E:$E,Лист2!$A:$A,$A12,Лист2!$B:$B,$B12)</f>
        <v>1863</v>
      </c>
      <c r="H12" s="10">
        <f t="shared" si="0"/>
        <v>148516.5</v>
      </c>
      <c r="I12" s="43">
        <f t="shared" si="1"/>
        <v>22</v>
      </c>
      <c r="J12" s="30">
        <v>11</v>
      </c>
      <c r="K12" s="30" t="s">
        <v>58</v>
      </c>
    </row>
    <row r="13" spans="1:25" ht="14.25" customHeight="1" x14ac:dyDescent="0.35">
      <c r="A13" s="11">
        <v>43952</v>
      </c>
      <c r="B13" s="4" t="s">
        <v>10</v>
      </c>
      <c r="C13" s="12">
        <v>32487</v>
      </c>
      <c r="D13" s="12">
        <v>3031254</v>
      </c>
      <c r="E13" s="12">
        <f>SUMIFS(Лист2!$C:$C,Лист2!$A:$A,$A13,Лист2!$B:$B,$B13)</f>
        <v>18</v>
      </c>
      <c r="F13" s="12">
        <f>SUMIFS(Лист2!$D:$D,Лист2!$A:$A,$A13,Лист2!$B:$B,$B13)</f>
        <v>1826</v>
      </c>
      <c r="G13" s="12">
        <f>SUMIFS(Лист2!$E:$E,Лист2!$A:$A,$A13,Лист2!$B:$B,$B13)</f>
        <v>1633</v>
      </c>
      <c r="H13" s="12">
        <f t="shared" si="0"/>
        <v>168403</v>
      </c>
      <c r="I13" s="44">
        <f t="shared" si="1"/>
        <v>18</v>
      </c>
      <c r="J13" s="31">
        <v>12</v>
      </c>
      <c r="K13" s="31" t="s">
        <v>54</v>
      </c>
    </row>
    <row r="14" spans="1:25" ht="14.25" customHeight="1" x14ac:dyDescent="0.35">
      <c r="A14" s="9">
        <v>43963</v>
      </c>
      <c r="B14" s="2" t="s">
        <v>10</v>
      </c>
      <c r="C14" s="10">
        <v>28219.5</v>
      </c>
      <c r="D14" s="10">
        <v>2595778.5</v>
      </c>
      <c r="E14" s="10">
        <f>SUMIFS(Лист2!$C:$C,Лист2!$A:$A,$A14,Лист2!$B:$B,$B14)</f>
        <v>21</v>
      </c>
      <c r="F14" s="10">
        <f>SUMIFS(Лист2!$D:$D,Лист2!$A:$A,$A14,Лист2!$B:$B,$B14)</f>
        <v>1656</v>
      </c>
      <c r="G14" s="10">
        <f>SUMIFS(Лист2!$E:$E,Лист2!$A:$A,$A14,Лист2!$B:$B,$B14)</f>
        <v>1516</v>
      </c>
      <c r="H14" s="10">
        <f t="shared" si="0"/>
        <v>123608.5</v>
      </c>
      <c r="I14" s="43">
        <f t="shared" si="1"/>
        <v>20</v>
      </c>
      <c r="J14" s="30">
        <v>13</v>
      </c>
      <c r="K14" s="30" t="s">
        <v>56</v>
      </c>
    </row>
    <row r="15" spans="1:25" ht="14.25" customHeight="1" x14ac:dyDescent="0.35">
      <c r="A15" s="11">
        <v>43972</v>
      </c>
      <c r="B15" s="4" t="s">
        <v>10</v>
      </c>
      <c r="C15" s="12">
        <v>31272</v>
      </c>
      <c r="D15" s="12">
        <v>2744382</v>
      </c>
      <c r="E15" s="12">
        <f>SUMIFS(Лист2!$C:$C,Лист2!$A:$A,$A15,Лист2!$B:$B,$B15)</f>
        <v>21</v>
      </c>
      <c r="F15" s="12">
        <f>SUMIFS(Лист2!$D:$D,Лист2!$A:$A,$A15,Лист2!$B:$B,$B15)</f>
        <v>1787</v>
      </c>
      <c r="G15" s="12">
        <f>SUMIFS(Лист2!$E:$E,Лист2!$A:$A,$A15,Лист2!$B:$B,$B15)</f>
        <v>1626</v>
      </c>
      <c r="H15" s="12">
        <f t="shared" si="0"/>
        <v>130684.85714285714</v>
      </c>
      <c r="I15" s="44">
        <f t="shared" si="1"/>
        <v>21</v>
      </c>
      <c r="J15" s="31">
        <v>14</v>
      </c>
      <c r="K15" s="31" t="s">
        <v>57</v>
      </c>
    </row>
    <row r="16" spans="1:25" ht="14.25" customHeight="1" x14ac:dyDescent="0.35">
      <c r="A16" s="9">
        <v>43971</v>
      </c>
      <c r="B16" s="2" t="s">
        <v>10</v>
      </c>
      <c r="C16" s="10">
        <v>34077</v>
      </c>
      <c r="D16" s="10">
        <v>2929330.5</v>
      </c>
      <c r="E16" s="10">
        <f>SUMIFS(Лист2!$C:$C,Лист2!$A:$A,$A16,Лист2!$B:$B,$B16)</f>
        <v>21</v>
      </c>
      <c r="F16" s="10">
        <f>SUMIFS(Лист2!$D:$D,Лист2!$A:$A,$A16,Лист2!$B:$B,$B16)</f>
        <v>1921</v>
      </c>
      <c r="G16" s="10">
        <f>SUMIFS(Лист2!$E:$E,Лист2!$A:$A,$A16,Лист2!$B:$B,$B16)</f>
        <v>1767</v>
      </c>
      <c r="H16" s="10">
        <f t="shared" si="0"/>
        <v>139491.92857142858</v>
      </c>
      <c r="I16" s="43">
        <f t="shared" si="1"/>
        <v>21</v>
      </c>
      <c r="J16" s="30">
        <v>15</v>
      </c>
      <c r="K16" s="30" t="s">
        <v>57</v>
      </c>
    </row>
    <row r="17" spans="1:11" ht="14.25" customHeight="1" x14ac:dyDescent="0.35">
      <c r="A17" s="11">
        <v>43956</v>
      </c>
      <c r="B17" s="4" t="s">
        <v>10</v>
      </c>
      <c r="C17" s="12">
        <v>31566</v>
      </c>
      <c r="D17" s="12">
        <v>2906763</v>
      </c>
      <c r="E17" s="12">
        <f>SUMIFS(Лист2!$C:$C,Лист2!$A:$A,$A17,Лист2!$B:$B,$B17)</f>
        <v>20</v>
      </c>
      <c r="F17" s="12">
        <f>SUMIFS(Лист2!$D:$D,Лист2!$A:$A,$A17,Лист2!$B:$B,$B17)</f>
        <v>1773</v>
      </c>
      <c r="G17" s="12">
        <f>SUMIFS(Лист2!$E:$E,Лист2!$A:$A,$A17,Лист2!$B:$B,$B17)</f>
        <v>1604</v>
      </c>
      <c r="H17" s="12">
        <f t="shared" si="0"/>
        <v>145338.15</v>
      </c>
      <c r="I17" s="44">
        <f t="shared" si="1"/>
        <v>19</v>
      </c>
      <c r="J17" s="31">
        <v>16</v>
      </c>
      <c r="K17" s="31" t="s">
        <v>55</v>
      </c>
    </row>
    <row r="18" spans="1:11" ht="14.25" customHeight="1" x14ac:dyDescent="0.35">
      <c r="A18" s="9">
        <v>43949</v>
      </c>
      <c r="B18" s="2" t="s">
        <v>10</v>
      </c>
      <c r="C18" s="10">
        <v>26940</v>
      </c>
      <c r="D18" s="10">
        <v>2411587.5</v>
      </c>
      <c r="E18" s="10">
        <f>SUMIFS(Лист2!$C:$C,Лист2!$A:$A,$A18,Лист2!$B:$B,$B18)</f>
        <v>18</v>
      </c>
      <c r="F18" s="10">
        <f>SUMIFS(Лист2!$D:$D,Лист2!$A:$A,$A18,Лист2!$B:$B,$B18)</f>
        <v>1539</v>
      </c>
      <c r="G18" s="10">
        <f>SUMIFS(Лист2!$E:$E,Лист2!$A:$A,$A18,Лист2!$B:$B,$B18)</f>
        <v>1404</v>
      </c>
      <c r="H18" s="10">
        <f t="shared" si="0"/>
        <v>133977.08333333334</v>
      </c>
      <c r="I18" s="43">
        <f t="shared" si="1"/>
        <v>18</v>
      </c>
      <c r="J18" s="30">
        <v>17</v>
      </c>
      <c r="K18" s="30" t="s">
        <v>54</v>
      </c>
    </row>
    <row r="19" spans="1:11" ht="14.25" customHeight="1" x14ac:dyDescent="0.35">
      <c r="A19" s="11">
        <v>43964</v>
      </c>
      <c r="B19" s="4" t="s">
        <v>10</v>
      </c>
      <c r="C19" s="12">
        <v>29241</v>
      </c>
      <c r="D19" s="12">
        <v>2629782</v>
      </c>
      <c r="E19" s="12">
        <f>SUMIFS(Лист2!$C:$C,Лист2!$A:$A,$A19,Лист2!$B:$B,$B19)</f>
        <v>21</v>
      </c>
      <c r="F19" s="12">
        <f>SUMIFS(Лист2!$D:$D,Лист2!$A:$A,$A19,Лист2!$B:$B,$B19)</f>
        <v>1698</v>
      </c>
      <c r="G19" s="12">
        <f>SUMIFS(Лист2!$E:$E,Лист2!$A:$A,$A19,Лист2!$B:$B,$B19)</f>
        <v>1554</v>
      </c>
      <c r="H19" s="12">
        <f t="shared" si="0"/>
        <v>125227.71428571429</v>
      </c>
      <c r="I19" s="44">
        <f t="shared" si="1"/>
        <v>20</v>
      </c>
      <c r="J19" s="31">
        <v>18</v>
      </c>
      <c r="K19" s="31" t="s">
        <v>56</v>
      </c>
    </row>
    <row r="20" spans="1:11" ht="14.25" customHeight="1" x14ac:dyDescent="0.35">
      <c r="A20" s="9">
        <v>43954</v>
      </c>
      <c r="B20" s="2" t="s">
        <v>10</v>
      </c>
      <c r="C20" s="10">
        <v>26082</v>
      </c>
      <c r="D20" s="10">
        <v>2434914</v>
      </c>
      <c r="E20" s="10">
        <f>SUMIFS(Лист2!$C:$C,Лист2!$A:$A,$A20,Лист2!$B:$B,$B20)</f>
        <v>20</v>
      </c>
      <c r="F20" s="10">
        <f>SUMIFS(Лист2!$D:$D,Лист2!$A:$A,$A20,Лист2!$B:$B,$B20)</f>
        <v>1520</v>
      </c>
      <c r="G20" s="10">
        <f>SUMIFS(Лист2!$E:$E,Лист2!$A:$A,$A20,Лист2!$B:$B,$B20)</f>
        <v>1373</v>
      </c>
      <c r="H20" s="10">
        <f t="shared" si="0"/>
        <v>121745.7</v>
      </c>
      <c r="I20" s="43">
        <f t="shared" si="1"/>
        <v>18</v>
      </c>
      <c r="J20" s="30">
        <v>19</v>
      </c>
      <c r="K20" s="30" t="s">
        <v>54</v>
      </c>
    </row>
    <row r="21" spans="1:11" ht="14.25" customHeight="1" x14ac:dyDescent="0.35">
      <c r="A21" s="11">
        <v>43957</v>
      </c>
      <c r="B21" s="4" t="s">
        <v>10</v>
      </c>
      <c r="C21" s="12">
        <v>32511</v>
      </c>
      <c r="D21" s="12">
        <v>2938623</v>
      </c>
      <c r="E21" s="12">
        <f>SUMIFS(Лист2!$C:$C,Лист2!$A:$A,$A21,Лист2!$B:$B,$B21)</f>
        <v>20</v>
      </c>
      <c r="F21" s="12">
        <f>SUMIFS(Лист2!$D:$D,Лист2!$A:$A,$A21,Лист2!$B:$B,$B21)</f>
        <v>1784</v>
      </c>
      <c r="G21" s="12">
        <f>SUMIFS(Лист2!$E:$E,Лист2!$A:$A,$A21,Лист2!$B:$B,$B21)</f>
        <v>1632</v>
      </c>
      <c r="H21" s="12">
        <f t="shared" si="0"/>
        <v>146931.15</v>
      </c>
      <c r="I21" s="44">
        <f t="shared" si="1"/>
        <v>19</v>
      </c>
      <c r="J21" s="31">
        <v>20</v>
      </c>
      <c r="K21" s="31" t="s">
        <v>55</v>
      </c>
    </row>
    <row r="22" spans="1:11" ht="14.25" customHeight="1" x14ac:dyDescent="0.35">
      <c r="A22" s="9">
        <v>43974</v>
      </c>
      <c r="B22" s="2" t="s">
        <v>10</v>
      </c>
      <c r="C22" s="10">
        <v>42703.5</v>
      </c>
      <c r="D22" s="10">
        <v>3628726.5</v>
      </c>
      <c r="E22" s="10">
        <f>SUMIFS(Лист2!$C:$C,Лист2!$A:$A,$A22,Лист2!$B:$B,$B22)</f>
        <v>21</v>
      </c>
      <c r="F22" s="10">
        <f>SUMIFS(Лист2!$D:$D,Лист2!$A:$A,$A22,Лист2!$B:$B,$B22)</f>
        <v>2340</v>
      </c>
      <c r="G22" s="10">
        <f>SUMIFS(Лист2!$E:$E,Лист2!$A:$A,$A22,Лист2!$B:$B,$B22)</f>
        <v>2146</v>
      </c>
      <c r="H22" s="10">
        <f t="shared" si="0"/>
        <v>172796.5</v>
      </c>
      <c r="I22" s="43">
        <f t="shared" si="1"/>
        <v>21</v>
      </c>
      <c r="J22" s="30">
        <v>21</v>
      </c>
      <c r="K22" s="30" t="s">
        <v>57</v>
      </c>
    </row>
    <row r="23" spans="1:11" ht="14.25" customHeight="1" x14ac:dyDescent="0.35">
      <c r="A23" s="11">
        <v>43976</v>
      </c>
      <c r="B23" s="4" t="s">
        <v>10</v>
      </c>
      <c r="C23" s="12">
        <v>35592</v>
      </c>
      <c r="D23" s="12">
        <v>3176580</v>
      </c>
      <c r="E23" s="12">
        <f>SUMIFS(Лист2!$C:$C,Лист2!$A:$A,$A23,Лист2!$B:$B,$B23)</f>
        <v>20</v>
      </c>
      <c r="F23" s="12">
        <f>SUMIFS(Лист2!$D:$D,Лист2!$A:$A,$A23,Лист2!$B:$B,$B23)</f>
        <v>2087</v>
      </c>
      <c r="G23" s="12">
        <f>SUMIFS(Лист2!$E:$E,Лист2!$A:$A,$A23,Лист2!$B:$B,$B23)</f>
        <v>1914</v>
      </c>
      <c r="H23" s="12">
        <f t="shared" si="0"/>
        <v>158829</v>
      </c>
      <c r="I23" s="44">
        <f t="shared" si="1"/>
        <v>22</v>
      </c>
      <c r="J23" s="31">
        <v>22</v>
      </c>
      <c r="K23" s="31" t="s">
        <v>58</v>
      </c>
    </row>
    <row r="24" spans="1:11" ht="14.25" customHeight="1" x14ac:dyDescent="0.35">
      <c r="A24" s="9">
        <v>43951</v>
      </c>
      <c r="B24" s="2" t="s">
        <v>10</v>
      </c>
      <c r="C24" s="10">
        <v>30445.5</v>
      </c>
      <c r="D24" s="10">
        <v>2817196.5</v>
      </c>
      <c r="E24" s="10">
        <f>SUMIFS(Лист2!$C:$C,Лист2!$A:$A,$A24,Лист2!$B:$B,$B24)</f>
        <v>19</v>
      </c>
      <c r="F24" s="10">
        <f>SUMIFS(Лист2!$D:$D,Лист2!$A:$A,$A24,Лист2!$B:$B,$B24)</f>
        <v>1712</v>
      </c>
      <c r="G24" s="10">
        <f>SUMIFS(Лист2!$E:$E,Лист2!$A:$A,$A24,Лист2!$B:$B,$B24)</f>
        <v>1552</v>
      </c>
      <c r="H24" s="10">
        <f t="shared" si="0"/>
        <v>148273.5</v>
      </c>
      <c r="I24" s="43">
        <f t="shared" si="1"/>
        <v>18</v>
      </c>
      <c r="J24" s="30">
        <v>23</v>
      </c>
      <c r="K24" s="30" t="s">
        <v>54</v>
      </c>
    </row>
    <row r="25" spans="1:11" ht="14.25" customHeight="1" x14ac:dyDescent="0.35">
      <c r="A25" s="11">
        <v>43961</v>
      </c>
      <c r="B25" s="4" t="s">
        <v>10</v>
      </c>
      <c r="C25" s="12">
        <v>36619.5</v>
      </c>
      <c r="D25" s="12">
        <v>3312967.5</v>
      </c>
      <c r="E25" s="12">
        <f>SUMIFS(Лист2!$C:$C,Лист2!$A:$A,$A25,Лист2!$B:$B,$B25)</f>
        <v>21</v>
      </c>
      <c r="F25" s="12">
        <f>SUMIFS(Лист2!$D:$D,Лист2!$A:$A,$A25,Лист2!$B:$B,$B25)</f>
        <v>2016</v>
      </c>
      <c r="G25" s="12">
        <f>SUMIFS(Лист2!$E:$E,Лист2!$A:$A,$A25,Лист2!$B:$B,$B25)</f>
        <v>1846</v>
      </c>
      <c r="H25" s="12">
        <f t="shared" si="0"/>
        <v>157760.35714285713</v>
      </c>
      <c r="I25" s="44">
        <f t="shared" si="1"/>
        <v>19</v>
      </c>
      <c r="J25" s="31">
        <v>24</v>
      </c>
      <c r="K25" s="31" t="s">
        <v>55</v>
      </c>
    </row>
    <row r="26" spans="1:11" ht="14.25" customHeight="1" x14ac:dyDescent="0.35">
      <c r="A26" s="9">
        <v>43959</v>
      </c>
      <c r="B26" s="2" t="s">
        <v>10</v>
      </c>
      <c r="C26" s="10">
        <v>29409</v>
      </c>
      <c r="D26" s="10">
        <v>2645160</v>
      </c>
      <c r="E26" s="10">
        <f>SUMIFS(Лист2!$C:$C,Лист2!$A:$A,$A26,Лист2!$B:$B,$B26)</f>
        <v>21</v>
      </c>
      <c r="F26" s="10">
        <f>SUMIFS(Лист2!$D:$D,Лист2!$A:$A,$A26,Лист2!$B:$B,$B26)</f>
        <v>1646</v>
      </c>
      <c r="G26" s="10">
        <f>SUMIFS(Лист2!$E:$E,Лист2!$A:$A,$A26,Лист2!$B:$B,$B26)</f>
        <v>1492</v>
      </c>
      <c r="H26" s="10">
        <f t="shared" si="0"/>
        <v>125960</v>
      </c>
      <c r="I26" s="43">
        <f t="shared" si="1"/>
        <v>19</v>
      </c>
      <c r="J26" s="30">
        <v>25</v>
      </c>
      <c r="K26" s="30" t="s">
        <v>55</v>
      </c>
    </row>
    <row r="27" spans="1:11" ht="14.25" customHeight="1" x14ac:dyDescent="0.35">
      <c r="A27" s="11">
        <v>43958</v>
      </c>
      <c r="B27" s="4" t="s">
        <v>10</v>
      </c>
      <c r="C27" s="12">
        <v>27018</v>
      </c>
      <c r="D27" s="12">
        <v>2472213</v>
      </c>
      <c r="E27" s="12">
        <f>SUMIFS(Лист2!$C:$C,Лист2!$A:$A,$A27,Лист2!$B:$B,$B27)</f>
        <v>21</v>
      </c>
      <c r="F27" s="12">
        <f>SUMIFS(Лист2!$D:$D,Лист2!$A:$A,$A27,Лист2!$B:$B,$B27)</f>
        <v>1542</v>
      </c>
      <c r="G27" s="12">
        <f>SUMIFS(Лист2!$E:$E,Лист2!$A:$A,$A27,Лист2!$B:$B,$B27)</f>
        <v>1405</v>
      </c>
      <c r="H27" s="12">
        <f t="shared" si="0"/>
        <v>117724.42857142857</v>
      </c>
      <c r="I27" s="44">
        <f t="shared" si="1"/>
        <v>19</v>
      </c>
      <c r="J27" s="31">
        <v>26</v>
      </c>
      <c r="K27" s="31" t="s">
        <v>55</v>
      </c>
    </row>
    <row r="28" spans="1:11" ht="14.25" customHeight="1" x14ac:dyDescent="0.35">
      <c r="A28" s="9">
        <v>43975</v>
      </c>
      <c r="B28" s="2" t="s">
        <v>10</v>
      </c>
      <c r="C28" s="10">
        <v>34303.5</v>
      </c>
      <c r="D28" s="10">
        <v>2924746.5</v>
      </c>
      <c r="E28" s="10">
        <f>SUMIFS(Лист2!$C:$C,Лист2!$A:$A,$A28,Лист2!$B:$B,$B28)</f>
        <v>20</v>
      </c>
      <c r="F28" s="10">
        <f>SUMIFS(Лист2!$D:$D,Лист2!$A:$A,$A28,Лист2!$B:$B,$B28)</f>
        <v>1999</v>
      </c>
      <c r="G28" s="10">
        <f>SUMIFS(Лист2!$E:$E,Лист2!$A:$A,$A28,Лист2!$B:$B,$B28)</f>
        <v>1829</v>
      </c>
      <c r="H28" s="10">
        <f t="shared" si="0"/>
        <v>146237.32500000001</v>
      </c>
      <c r="I28" s="43">
        <f t="shared" si="1"/>
        <v>21</v>
      </c>
      <c r="J28" s="30">
        <v>27</v>
      </c>
      <c r="K28" s="30" t="s">
        <v>57</v>
      </c>
    </row>
    <row r="29" spans="1:11" ht="14.25" customHeight="1" x14ac:dyDescent="0.35">
      <c r="A29" s="11">
        <v>43982</v>
      </c>
      <c r="B29" s="4" t="s">
        <v>10</v>
      </c>
      <c r="C29" s="12">
        <v>36999</v>
      </c>
      <c r="D29" s="12">
        <v>3473895</v>
      </c>
      <c r="E29" s="12">
        <f>SUMIFS(Лист2!$C:$C,Лист2!$A:$A,$A29,Лист2!$B:$B,$B29)</f>
        <v>21</v>
      </c>
      <c r="F29" s="12">
        <f>SUMIFS(Лист2!$D:$D,Лист2!$A:$A,$A29,Лист2!$B:$B,$B29)</f>
        <v>2271</v>
      </c>
      <c r="G29" s="12">
        <f>SUMIFS(Лист2!$E:$E,Лист2!$A:$A,$A29,Лист2!$B:$B,$B29)</f>
        <v>2085</v>
      </c>
      <c r="H29" s="12">
        <f t="shared" si="0"/>
        <v>165423.57142857142</v>
      </c>
      <c r="I29" s="44">
        <f t="shared" si="1"/>
        <v>22</v>
      </c>
      <c r="J29" s="31">
        <v>28</v>
      </c>
      <c r="K29" s="31" t="s">
        <v>58</v>
      </c>
    </row>
    <row r="30" spans="1:11" ht="14.25" customHeight="1" x14ac:dyDescent="0.35">
      <c r="A30" s="9">
        <v>43981</v>
      </c>
      <c r="B30" s="2" t="s">
        <v>10</v>
      </c>
      <c r="C30" s="10">
        <v>44001</v>
      </c>
      <c r="D30" s="10">
        <v>3921784.5</v>
      </c>
      <c r="E30" s="10">
        <f>SUMIFS(Лист2!$C:$C,Лист2!$A:$A,$A30,Лист2!$B:$B,$B30)</f>
        <v>20</v>
      </c>
      <c r="F30" s="10">
        <f>SUMIFS(Лист2!$D:$D,Лист2!$A:$A,$A30,Лист2!$B:$B,$B30)</f>
        <v>2597</v>
      </c>
      <c r="G30" s="10">
        <f>SUMIFS(Лист2!$E:$E,Лист2!$A:$A,$A30,Лист2!$B:$B,$B30)</f>
        <v>2376</v>
      </c>
      <c r="H30" s="10">
        <f t="shared" si="0"/>
        <v>196089.22500000001</v>
      </c>
      <c r="I30" s="43">
        <f t="shared" si="1"/>
        <v>22</v>
      </c>
      <c r="J30" s="30">
        <v>29</v>
      </c>
      <c r="K30" s="30" t="s">
        <v>58</v>
      </c>
    </row>
    <row r="31" spans="1:11" ht="14.25" customHeight="1" x14ac:dyDescent="0.35">
      <c r="A31" s="11">
        <v>43979</v>
      </c>
      <c r="B31" s="4" t="s">
        <v>10</v>
      </c>
      <c r="C31" s="12">
        <v>30982.5</v>
      </c>
      <c r="D31" s="12">
        <v>2827773</v>
      </c>
      <c r="E31" s="12">
        <f>SUMIFS(Лист2!$C:$C,Лист2!$A:$A,$A31,Лист2!$B:$B,$B31)</f>
        <v>20</v>
      </c>
      <c r="F31" s="12">
        <f>SUMIFS(Лист2!$D:$D,Лист2!$A:$A,$A31,Лист2!$B:$B,$B31)</f>
        <v>1886</v>
      </c>
      <c r="G31" s="12">
        <f>SUMIFS(Лист2!$E:$E,Лист2!$A:$A,$A31,Лист2!$B:$B,$B31)</f>
        <v>1736</v>
      </c>
      <c r="H31" s="12">
        <f t="shared" si="0"/>
        <v>141388.65</v>
      </c>
      <c r="I31" s="44">
        <f t="shared" si="1"/>
        <v>22</v>
      </c>
      <c r="J31" s="31">
        <v>30</v>
      </c>
      <c r="K31" s="31" t="s">
        <v>58</v>
      </c>
    </row>
    <row r="32" spans="1:11" ht="14.25" customHeight="1" x14ac:dyDescent="0.35">
      <c r="A32" s="9">
        <v>43967</v>
      </c>
      <c r="B32" s="2" t="s">
        <v>11</v>
      </c>
      <c r="C32" s="10">
        <v>88063.5</v>
      </c>
      <c r="D32" s="10">
        <v>7583758.5</v>
      </c>
      <c r="E32" s="10">
        <f>SUMIFS(Лист2!$C:$C,Лист2!$A:$A,$A32,Лист2!$B:$B,$B32)</f>
        <v>31</v>
      </c>
      <c r="F32" s="10">
        <f>SUMIFS(Лист2!$D:$D,Лист2!$A:$A,$A32,Лист2!$B:$B,$B32)</f>
        <v>5593</v>
      </c>
      <c r="G32" s="10">
        <f>SUMIFS(Лист2!$E:$E,Лист2!$A:$A,$A32,Лист2!$B:$B,$B32)</f>
        <v>5177</v>
      </c>
      <c r="H32" s="10">
        <f t="shared" si="0"/>
        <v>244637.37096774194</v>
      </c>
      <c r="I32" s="43">
        <f t="shared" si="1"/>
        <v>20</v>
      </c>
      <c r="J32" s="30">
        <v>31</v>
      </c>
      <c r="K32" s="30" t="s">
        <v>56</v>
      </c>
    </row>
    <row r="33" spans="1:11" ht="14.25" customHeight="1" x14ac:dyDescent="0.35">
      <c r="A33" s="11">
        <v>43970</v>
      </c>
      <c r="B33" s="4" t="s">
        <v>11</v>
      </c>
      <c r="C33" s="12">
        <v>84024</v>
      </c>
      <c r="D33" s="12">
        <v>6815511</v>
      </c>
      <c r="E33" s="12">
        <f>SUMIFS(Лист2!$C:$C,Лист2!$A:$A,$A33,Лист2!$B:$B,$B33)</f>
        <v>31</v>
      </c>
      <c r="F33" s="12">
        <f>SUMIFS(Лист2!$D:$D,Лист2!$A:$A,$A33,Лист2!$B:$B,$B33)</f>
        <v>5389</v>
      </c>
      <c r="G33" s="12">
        <f>SUMIFS(Лист2!$E:$E,Лист2!$A:$A,$A33,Лист2!$B:$B,$B33)</f>
        <v>5024</v>
      </c>
      <c r="H33" s="12">
        <f t="shared" si="0"/>
        <v>219855.19354838709</v>
      </c>
      <c r="I33" s="44">
        <f t="shared" si="1"/>
        <v>21</v>
      </c>
      <c r="J33" s="31">
        <v>32</v>
      </c>
      <c r="K33" s="31" t="s">
        <v>57</v>
      </c>
    </row>
    <row r="34" spans="1:11" ht="14.25" customHeight="1" x14ac:dyDescent="0.35">
      <c r="A34" s="9">
        <v>43968</v>
      </c>
      <c r="B34" s="2" t="s">
        <v>11</v>
      </c>
      <c r="C34" s="10">
        <v>78057</v>
      </c>
      <c r="D34" s="10">
        <v>6774946.5</v>
      </c>
      <c r="E34" s="10">
        <f>SUMIFS(Лист2!$C:$C,Лист2!$A:$A,$A34,Лист2!$B:$B,$B34)</f>
        <v>31</v>
      </c>
      <c r="F34" s="10">
        <f>SUMIFS(Лист2!$D:$D,Лист2!$A:$A,$A34,Лист2!$B:$B,$B34)</f>
        <v>5206</v>
      </c>
      <c r="G34" s="10">
        <f>SUMIFS(Лист2!$E:$E,Лист2!$A:$A,$A34,Лист2!$B:$B,$B34)</f>
        <v>4843</v>
      </c>
      <c r="H34" s="10">
        <f t="shared" si="0"/>
        <v>218546.66129032258</v>
      </c>
      <c r="I34" s="43">
        <f t="shared" si="1"/>
        <v>20</v>
      </c>
      <c r="J34" s="30">
        <v>33</v>
      </c>
      <c r="K34" s="30" t="s">
        <v>56</v>
      </c>
    </row>
    <row r="35" spans="1:11" ht="14.25" customHeight="1" x14ac:dyDescent="0.35">
      <c r="A35" s="11">
        <v>43960</v>
      </c>
      <c r="B35" s="4" t="s">
        <v>11</v>
      </c>
      <c r="C35" s="12">
        <v>69720</v>
      </c>
      <c r="D35" s="12">
        <v>6264933</v>
      </c>
      <c r="E35" s="12">
        <f>SUMIFS(Лист2!$C:$C,Лист2!$A:$A,$A35,Лист2!$B:$B,$B35)</f>
        <v>31</v>
      </c>
      <c r="F35" s="12">
        <f>SUMIFS(Лист2!$D:$D,Лист2!$A:$A,$A35,Лист2!$B:$B,$B35)</f>
        <v>4556</v>
      </c>
      <c r="G35" s="12">
        <f>SUMIFS(Лист2!$E:$E,Лист2!$A:$A,$A35,Лист2!$B:$B,$B35)</f>
        <v>4220</v>
      </c>
      <c r="H35" s="12">
        <f t="shared" si="0"/>
        <v>202094.61290322582</v>
      </c>
      <c r="I35" s="44">
        <f t="shared" si="1"/>
        <v>19</v>
      </c>
      <c r="J35" s="31">
        <v>34</v>
      </c>
      <c r="K35" s="31" t="s">
        <v>55</v>
      </c>
    </row>
    <row r="36" spans="1:11" ht="14.25" customHeight="1" x14ac:dyDescent="0.35">
      <c r="A36" s="9">
        <v>43955</v>
      </c>
      <c r="B36" s="2" t="s">
        <v>11</v>
      </c>
      <c r="C36" s="10">
        <v>72928.5</v>
      </c>
      <c r="D36" s="10">
        <v>6642249</v>
      </c>
      <c r="E36" s="10">
        <f>SUMIFS(Лист2!$C:$C,Лист2!$A:$A,$A36,Лист2!$B:$B,$B36)</f>
        <v>31</v>
      </c>
      <c r="F36" s="10">
        <f>SUMIFS(Лист2!$D:$D,Лист2!$A:$A,$A36,Лист2!$B:$B,$B36)</f>
        <v>4968</v>
      </c>
      <c r="G36" s="10">
        <f>SUMIFS(Лист2!$E:$E,Лист2!$A:$A,$A36,Лист2!$B:$B,$B36)</f>
        <v>4596</v>
      </c>
      <c r="H36" s="10">
        <f t="shared" si="0"/>
        <v>214266.09677419355</v>
      </c>
      <c r="I36" s="43">
        <f t="shared" si="1"/>
        <v>19</v>
      </c>
      <c r="J36" s="30">
        <v>35</v>
      </c>
      <c r="K36" s="30" t="s">
        <v>55</v>
      </c>
    </row>
    <row r="37" spans="1:11" ht="14.25" customHeight="1" x14ac:dyDescent="0.35">
      <c r="A37" s="11">
        <v>43950</v>
      </c>
      <c r="B37" s="4" t="s">
        <v>11</v>
      </c>
      <c r="C37" s="12">
        <v>79527</v>
      </c>
      <c r="D37" s="12">
        <v>7180498.5</v>
      </c>
      <c r="E37" s="12">
        <f>SUMIFS(Лист2!$C:$C,Лист2!$A:$A,$A37,Лист2!$B:$B,$B37)</f>
        <v>31</v>
      </c>
      <c r="F37" s="12">
        <f>SUMIFS(Лист2!$D:$D,Лист2!$A:$A,$A37,Лист2!$B:$B,$B37)</f>
        <v>5378</v>
      </c>
      <c r="G37" s="12">
        <f>SUMIFS(Лист2!$E:$E,Лист2!$A:$A,$A37,Лист2!$B:$B,$B37)</f>
        <v>4985</v>
      </c>
      <c r="H37" s="12">
        <f t="shared" si="0"/>
        <v>231628.98387096773</v>
      </c>
      <c r="I37" s="44">
        <f t="shared" si="1"/>
        <v>18</v>
      </c>
      <c r="J37" s="31">
        <v>36</v>
      </c>
      <c r="K37" s="31" t="s">
        <v>54</v>
      </c>
    </row>
    <row r="38" spans="1:11" ht="14.25" customHeight="1" x14ac:dyDescent="0.35">
      <c r="A38" s="9">
        <v>43953</v>
      </c>
      <c r="B38" s="2" t="s">
        <v>11</v>
      </c>
      <c r="C38" s="10">
        <v>60463.5</v>
      </c>
      <c r="D38" s="10">
        <v>5554192.5</v>
      </c>
      <c r="E38" s="10">
        <f>SUMIFS(Лист2!$C:$C,Лист2!$A:$A,$A38,Лист2!$B:$B,$B38)</f>
        <v>31</v>
      </c>
      <c r="F38" s="10">
        <f>SUMIFS(Лист2!$D:$D,Лист2!$A:$A,$A38,Лист2!$B:$B,$B38)</f>
        <v>4157</v>
      </c>
      <c r="G38" s="10">
        <f>SUMIFS(Лист2!$E:$E,Лист2!$A:$A,$A38,Лист2!$B:$B,$B38)</f>
        <v>3823</v>
      </c>
      <c r="H38" s="10">
        <f t="shared" si="0"/>
        <v>179167.5</v>
      </c>
      <c r="I38" s="43">
        <f t="shared" si="1"/>
        <v>18</v>
      </c>
      <c r="J38" s="30">
        <v>37</v>
      </c>
      <c r="K38" s="30" t="s">
        <v>54</v>
      </c>
    </row>
    <row r="39" spans="1:11" ht="14.25" customHeight="1" x14ac:dyDescent="0.35">
      <c r="A39" s="11">
        <v>43977</v>
      </c>
      <c r="B39" s="4" t="s">
        <v>11</v>
      </c>
      <c r="C39" s="12">
        <v>79975.5</v>
      </c>
      <c r="D39" s="12">
        <v>6676459.5</v>
      </c>
      <c r="E39" s="12">
        <f>SUMIFS(Лист2!$C:$C,Лист2!$A:$A,$A39,Лист2!$B:$B,$B39)</f>
        <v>31</v>
      </c>
      <c r="F39" s="12">
        <f>SUMIFS(Лист2!$D:$D,Лист2!$A:$A,$A39,Лист2!$B:$B,$B39)</f>
        <v>5493</v>
      </c>
      <c r="G39" s="12">
        <f>SUMIFS(Лист2!$E:$E,Лист2!$A:$A,$A39,Лист2!$B:$B,$B39)</f>
        <v>5119</v>
      </c>
      <c r="H39" s="12">
        <f t="shared" si="0"/>
        <v>215369.66129032258</v>
      </c>
      <c r="I39" s="44">
        <f t="shared" si="1"/>
        <v>22</v>
      </c>
      <c r="J39" s="31">
        <v>38</v>
      </c>
      <c r="K39" s="31" t="s">
        <v>58</v>
      </c>
    </row>
    <row r="40" spans="1:11" ht="14.25" customHeight="1" x14ac:dyDescent="0.35">
      <c r="A40" s="9">
        <v>43952</v>
      </c>
      <c r="B40" s="2" t="s">
        <v>11</v>
      </c>
      <c r="C40" s="10">
        <v>97534.5</v>
      </c>
      <c r="D40" s="10">
        <v>8893024.5</v>
      </c>
      <c r="E40" s="10">
        <f>SUMIFS(Лист2!$C:$C,Лист2!$A:$A,$A40,Лист2!$B:$B,$B40)</f>
        <v>31</v>
      </c>
      <c r="F40" s="10">
        <f>SUMIFS(Лист2!$D:$D,Лист2!$A:$A,$A40,Лист2!$B:$B,$B40)</f>
        <v>6118</v>
      </c>
      <c r="G40" s="10">
        <f>SUMIFS(Лист2!$E:$E,Лист2!$A:$A,$A40,Лист2!$B:$B,$B40)</f>
        <v>5564</v>
      </c>
      <c r="H40" s="10">
        <f t="shared" si="0"/>
        <v>286871.75806451612</v>
      </c>
      <c r="I40" s="43">
        <f t="shared" si="1"/>
        <v>18</v>
      </c>
      <c r="J40" s="30">
        <v>39</v>
      </c>
      <c r="K40" s="30" t="s">
        <v>54</v>
      </c>
    </row>
    <row r="41" spans="1:11" ht="14.25" customHeight="1" x14ac:dyDescent="0.35">
      <c r="A41" s="11">
        <v>43963</v>
      </c>
      <c r="B41" s="4" t="s">
        <v>11</v>
      </c>
      <c r="C41" s="12">
        <v>71520</v>
      </c>
      <c r="D41" s="12">
        <v>6398361</v>
      </c>
      <c r="E41" s="12">
        <f>SUMIFS(Лист2!$C:$C,Лист2!$A:$A,$A41,Лист2!$B:$B,$B41)</f>
        <v>31</v>
      </c>
      <c r="F41" s="12">
        <f>SUMIFS(Лист2!$D:$D,Лист2!$A:$A,$A41,Лист2!$B:$B,$B41)</f>
        <v>4800</v>
      </c>
      <c r="G41" s="12">
        <f>SUMIFS(Лист2!$E:$E,Лист2!$A:$A,$A41,Лист2!$B:$B,$B41)</f>
        <v>4470</v>
      </c>
      <c r="H41" s="12">
        <f t="shared" si="0"/>
        <v>206398.74193548388</v>
      </c>
      <c r="I41" s="44">
        <f t="shared" si="1"/>
        <v>20</v>
      </c>
      <c r="J41" s="31">
        <v>40</v>
      </c>
      <c r="K41" s="31" t="s">
        <v>56</v>
      </c>
    </row>
    <row r="42" spans="1:11" ht="14.25" customHeight="1" x14ac:dyDescent="0.35">
      <c r="A42" s="9">
        <v>43972</v>
      </c>
      <c r="B42" s="2" t="s">
        <v>11</v>
      </c>
      <c r="C42" s="10">
        <v>79485</v>
      </c>
      <c r="D42" s="10">
        <v>6633847.5</v>
      </c>
      <c r="E42" s="10">
        <f>SUMIFS(Лист2!$C:$C,Лист2!$A:$A,$A42,Лист2!$B:$B,$B42)</f>
        <v>31</v>
      </c>
      <c r="F42" s="10">
        <f>SUMIFS(Лист2!$D:$D,Лист2!$A:$A,$A42,Лист2!$B:$B,$B42)</f>
        <v>5207</v>
      </c>
      <c r="G42" s="10">
        <f>SUMIFS(Лист2!$E:$E,Лист2!$A:$A,$A42,Лист2!$B:$B,$B42)</f>
        <v>4868</v>
      </c>
      <c r="H42" s="10">
        <f t="shared" si="0"/>
        <v>213995.0806451613</v>
      </c>
      <c r="I42" s="43">
        <f t="shared" si="1"/>
        <v>21</v>
      </c>
      <c r="J42" s="30">
        <v>41</v>
      </c>
      <c r="K42" s="30" t="s">
        <v>57</v>
      </c>
    </row>
    <row r="43" spans="1:11" ht="14.25" customHeight="1" x14ac:dyDescent="0.35">
      <c r="A43" s="11">
        <v>43971</v>
      </c>
      <c r="B43" s="4" t="s">
        <v>11</v>
      </c>
      <c r="C43" s="12">
        <v>93313.5</v>
      </c>
      <c r="D43" s="12">
        <v>7247575.5</v>
      </c>
      <c r="E43" s="12">
        <f>SUMIFS(Лист2!$C:$C,Лист2!$A:$A,$A43,Лист2!$B:$B,$B43)</f>
        <v>31</v>
      </c>
      <c r="F43" s="12">
        <f>SUMIFS(Лист2!$D:$D,Лист2!$A:$A,$A43,Лист2!$B:$B,$B43)</f>
        <v>5698</v>
      </c>
      <c r="G43" s="12">
        <f>SUMIFS(Лист2!$E:$E,Лист2!$A:$A,$A43,Лист2!$B:$B,$B43)</f>
        <v>5258</v>
      </c>
      <c r="H43" s="12">
        <f t="shared" si="0"/>
        <v>233792.75806451612</v>
      </c>
      <c r="I43" s="44">
        <f t="shared" si="1"/>
        <v>21</v>
      </c>
      <c r="J43" s="31">
        <v>42</v>
      </c>
      <c r="K43" s="31" t="s">
        <v>57</v>
      </c>
    </row>
    <row r="44" spans="1:11" ht="14.25" customHeight="1" x14ac:dyDescent="0.35">
      <c r="A44" s="9">
        <v>43956</v>
      </c>
      <c r="B44" s="2" t="s">
        <v>11</v>
      </c>
      <c r="C44" s="10">
        <v>76585.5</v>
      </c>
      <c r="D44" s="10">
        <v>6921316.5</v>
      </c>
      <c r="E44" s="10">
        <f>SUMIFS(Лист2!$C:$C,Лист2!$A:$A,$A44,Лист2!$B:$B,$B44)</f>
        <v>31</v>
      </c>
      <c r="F44" s="10">
        <f>SUMIFS(Лист2!$D:$D,Лист2!$A:$A,$A44,Лист2!$B:$B,$B44)</f>
        <v>5188</v>
      </c>
      <c r="G44" s="10">
        <f>SUMIFS(Лист2!$E:$E,Лист2!$A:$A,$A44,Лист2!$B:$B,$B44)</f>
        <v>4800</v>
      </c>
      <c r="H44" s="10">
        <f t="shared" si="0"/>
        <v>223268.27419354839</v>
      </c>
      <c r="I44" s="43">
        <f t="shared" si="1"/>
        <v>19</v>
      </c>
      <c r="J44" s="30">
        <v>43</v>
      </c>
      <c r="K44" s="30" t="s">
        <v>55</v>
      </c>
    </row>
    <row r="45" spans="1:11" ht="14.25" customHeight="1" x14ac:dyDescent="0.35">
      <c r="A45" s="11">
        <v>43949</v>
      </c>
      <c r="B45" s="4" t="s">
        <v>11</v>
      </c>
      <c r="C45" s="12">
        <v>81826.5</v>
      </c>
      <c r="D45" s="12">
        <v>7163644.5</v>
      </c>
      <c r="E45" s="12">
        <f>SUMIFS(Лист2!$C:$C,Лист2!$A:$A,$A45,Лист2!$B:$B,$B45)</f>
        <v>31</v>
      </c>
      <c r="F45" s="12">
        <f>SUMIFS(Лист2!$D:$D,Лист2!$A:$A,$A45,Лист2!$B:$B,$B45)</f>
        <v>5465</v>
      </c>
      <c r="G45" s="12">
        <f>SUMIFS(Лист2!$E:$E,Лист2!$A:$A,$A45,Лист2!$B:$B,$B45)</f>
        <v>5096</v>
      </c>
      <c r="H45" s="12">
        <f t="shared" si="0"/>
        <v>231085.30645161291</v>
      </c>
      <c r="I45" s="44">
        <f t="shared" si="1"/>
        <v>18</v>
      </c>
      <c r="J45" s="31">
        <v>44</v>
      </c>
      <c r="K45" s="31" t="s">
        <v>54</v>
      </c>
    </row>
    <row r="46" spans="1:11" ht="14.25" customHeight="1" x14ac:dyDescent="0.35">
      <c r="A46" s="9">
        <v>43964</v>
      </c>
      <c r="B46" s="2" t="s">
        <v>11</v>
      </c>
      <c r="C46" s="10">
        <v>78846</v>
      </c>
      <c r="D46" s="10">
        <v>6993952.5</v>
      </c>
      <c r="E46" s="10">
        <f>SUMIFS(Лист2!$C:$C,Лист2!$A:$A,$A46,Лист2!$B:$B,$B46)</f>
        <v>31</v>
      </c>
      <c r="F46" s="10">
        <f>SUMIFS(Лист2!$D:$D,Лист2!$A:$A,$A46,Лист2!$B:$B,$B46)</f>
        <v>5251</v>
      </c>
      <c r="G46" s="10">
        <f>SUMIFS(Лист2!$E:$E,Лист2!$A:$A,$A46,Лист2!$B:$B,$B46)</f>
        <v>4853</v>
      </c>
      <c r="H46" s="10">
        <f t="shared" si="0"/>
        <v>225611.37096774194</v>
      </c>
      <c r="I46" s="43">
        <f t="shared" si="1"/>
        <v>20</v>
      </c>
      <c r="J46" s="30">
        <v>45</v>
      </c>
      <c r="K46" s="30" t="s">
        <v>56</v>
      </c>
    </row>
    <row r="47" spans="1:11" ht="14.25" customHeight="1" x14ac:dyDescent="0.35">
      <c r="A47" s="11">
        <v>43954</v>
      </c>
      <c r="B47" s="4" t="s">
        <v>11</v>
      </c>
      <c r="C47" s="12">
        <v>77263.5</v>
      </c>
      <c r="D47" s="12">
        <v>7013670</v>
      </c>
      <c r="E47" s="12">
        <f>SUMIFS(Лист2!$C:$C,Лист2!$A:$A,$A47,Лист2!$B:$B,$B47)</f>
        <v>31</v>
      </c>
      <c r="F47" s="12">
        <f>SUMIFS(Лист2!$D:$D,Лист2!$A:$A,$A47,Лист2!$B:$B,$B47)</f>
        <v>5155</v>
      </c>
      <c r="G47" s="12">
        <f>SUMIFS(Лист2!$E:$E,Лист2!$A:$A,$A47,Лист2!$B:$B,$B47)</f>
        <v>4762</v>
      </c>
      <c r="H47" s="12">
        <f t="shared" si="0"/>
        <v>226247.4193548387</v>
      </c>
      <c r="I47" s="44">
        <f t="shared" si="1"/>
        <v>18</v>
      </c>
      <c r="J47" s="31">
        <v>46</v>
      </c>
      <c r="K47" s="31" t="s">
        <v>54</v>
      </c>
    </row>
    <row r="48" spans="1:11" ht="14.25" customHeight="1" x14ac:dyDescent="0.35">
      <c r="A48" s="9">
        <v>43957</v>
      </c>
      <c r="B48" s="2" t="s">
        <v>11</v>
      </c>
      <c r="C48" s="10">
        <v>68994</v>
      </c>
      <c r="D48" s="10">
        <v>6168657</v>
      </c>
      <c r="E48" s="10">
        <f>SUMIFS(Лист2!$C:$C,Лист2!$A:$A,$A48,Лист2!$B:$B,$B48)</f>
        <v>31</v>
      </c>
      <c r="F48" s="10">
        <f>SUMIFS(Лист2!$D:$D,Лист2!$A:$A,$A48,Лист2!$B:$B,$B48)</f>
        <v>4709</v>
      </c>
      <c r="G48" s="10">
        <f>SUMIFS(Лист2!$E:$E,Лист2!$A:$A,$A48,Лист2!$B:$B,$B48)</f>
        <v>4348</v>
      </c>
      <c r="H48" s="10">
        <f t="shared" si="0"/>
        <v>198988.93548387097</v>
      </c>
      <c r="I48" s="43">
        <f t="shared" si="1"/>
        <v>19</v>
      </c>
      <c r="J48" s="30">
        <v>47</v>
      </c>
      <c r="K48" s="30" t="s">
        <v>55</v>
      </c>
    </row>
    <row r="49" spans="1:11" ht="14.25" customHeight="1" x14ac:dyDescent="0.35">
      <c r="A49" s="11">
        <v>43974</v>
      </c>
      <c r="B49" s="4" t="s">
        <v>11</v>
      </c>
      <c r="C49" s="12">
        <v>102889.5</v>
      </c>
      <c r="D49" s="12">
        <v>8089143</v>
      </c>
      <c r="E49" s="12">
        <f>SUMIFS(Лист2!$C:$C,Лист2!$A:$A,$A49,Лист2!$B:$B,$B49)</f>
        <v>31</v>
      </c>
      <c r="F49" s="12">
        <f>SUMIFS(Лист2!$D:$D,Лист2!$A:$A,$A49,Лист2!$B:$B,$B49)</f>
        <v>6276</v>
      </c>
      <c r="G49" s="12">
        <f>SUMIFS(Лист2!$E:$E,Лист2!$A:$A,$A49,Лист2!$B:$B,$B49)</f>
        <v>5801</v>
      </c>
      <c r="H49" s="12">
        <f t="shared" si="0"/>
        <v>260940.09677419355</v>
      </c>
      <c r="I49" s="44">
        <f t="shared" si="1"/>
        <v>21</v>
      </c>
      <c r="J49" s="31">
        <v>48</v>
      </c>
      <c r="K49" s="31" t="s">
        <v>57</v>
      </c>
    </row>
    <row r="50" spans="1:11" ht="14.25" customHeight="1" x14ac:dyDescent="0.35">
      <c r="A50" s="9">
        <v>43976</v>
      </c>
      <c r="B50" s="2" t="s">
        <v>11</v>
      </c>
      <c r="C50" s="10">
        <v>76999.5</v>
      </c>
      <c r="D50" s="10">
        <v>6645603</v>
      </c>
      <c r="E50" s="10">
        <f>SUMIFS(Лист2!$C:$C,Лист2!$A:$A,$A50,Лист2!$B:$B,$B50)</f>
        <v>31</v>
      </c>
      <c r="F50" s="10">
        <f>SUMIFS(Лист2!$D:$D,Лист2!$A:$A,$A50,Лист2!$B:$B,$B50)</f>
        <v>5210</v>
      </c>
      <c r="G50" s="10">
        <f>SUMIFS(Лист2!$E:$E,Лист2!$A:$A,$A50,Лист2!$B:$B,$B50)</f>
        <v>4841</v>
      </c>
      <c r="H50" s="10">
        <f t="shared" si="0"/>
        <v>214374.29032258064</v>
      </c>
      <c r="I50" s="43">
        <f t="shared" si="1"/>
        <v>22</v>
      </c>
      <c r="J50" s="30">
        <v>49</v>
      </c>
      <c r="K50" s="30" t="s">
        <v>58</v>
      </c>
    </row>
    <row r="51" spans="1:11" ht="14.25" customHeight="1" x14ac:dyDescent="0.35">
      <c r="A51" s="11">
        <v>43951</v>
      </c>
      <c r="B51" s="4" t="s">
        <v>11</v>
      </c>
      <c r="C51" s="12">
        <v>77565</v>
      </c>
      <c r="D51" s="12">
        <v>7023727.5</v>
      </c>
      <c r="E51" s="12">
        <f>SUMIFS(Лист2!$C:$C,Лист2!$A:$A,$A51,Лист2!$B:$B,$B51)</f>
        <v>31</v>
      </c>
      <c r="F51" s="12">
        <f>SUMIFS(Лист2!$D:$D,Лист2!$A:$A,$A51,Лист2!$B:$B,$B51)</f>
        <v>5120</v>
      </c>
      <c r="G51" s="12">
        <f>SUMIFS(Лист2!$E:$E,Лист2!$A:$A,$A51,Лист2!$B:$B,$B51)</f>
        <v>4737</v>
      </c>
      <c r="H51" s="12">
        <f t="shared" si="0"/>
        <v>226571.85483870967</v>
      </c>
      <c r="I51" s="44">
        <f t="shared" si="1"/>
        <v>18</v>
      </c>
      <c r="J51" s="31">
        <v>50</v>
      </c>
      <c r="K51" s="31" t="s">
        <v>54</v>
      </c>
    </row>
    <row r="52" spans="1:11" ht="14.25" customHeight="1" x14ac:dyDescent="0.35">
      <c r="A52" s="9">
        <v>43961</v>
      </c>
      <c r="B52" s="2" t="s">
        <v>11</v>
      </c>
      <c r="C52" s="10">
        <v>84132</v>
      </c>
      <c r="D52" s="10">
        <v>7483194</v>
      </c>
      <c r="E52" s="10">
        <f>SUMIFS(Лист2!$C:$C,Лист2!$A:$A,$A52,Лист2!$B:$B,$B52)</f>
        <v>31</v>
      </c>
      <c r="F52" s="10">
        <f>SUMIFS(Лист2!$D:$D,Лист2!$A:$A,$A52,Лист2!$B:$B,$B52)</f>
        <v>5495</v>
      </c>
      <c r="G52" s="10">
        <f>SUMIFS(Лист2!$E:$E,Лист2!$A:$A,$A52,Лист2!$B:$B,$B52)</f>
        <v>5093</v>
      </c>
      <c r="H52" s="10">
        <f t="shared" si="0"/>
        <v>241393.35483870967</v>
      </c>
      <c r="I52" s="43">
        <f t="shared" si="1"/>
        <v>19</v>
      </c>
      <c r="J52" s="30">
        <v>51</v>
      </c>
      <c r="K52" s="30" t="s">
        <v>55</v>
      </c>
    </row>
    <row r="53" spans="1:11" ht="14.25" customHeight="1" x14ac:dyDescent="0.35">
      <c r="A53" s="11">
        <v>43959</v>
      </c>
      <c r="B53" s="4" t="s">
        <v>11</v>
      </c>
      <c r="C53" s="12">
        <v>69544.5</v>
      </c>
      <c r="D53" s="12">
        <v>6293776.5</v>
      </c>
      <c r="E53" s="12">
        <f>SUMIFS(Лист2!$C:$C,Лист2!$A:$A,$A53,Лист2!$B:$B,$B53)</f>
        <v>31</v>
      </c>
      <c r="F53" s="12">
        <f>SUMIFS(Лист2!$D:$D,Лист2!$A:$A,$A53,Лист2!$B:$B,$B53)</f>
        <v>4635</v>
      </c>
      <c r="G53" s="12">
        <f>SUMIFS(Лист2!$E:$E,Лист2!$A:$A,$A53,Лист2!$B:$B,$B53)</f>
        <v>4266</v>
      </c>
      <c r="H53" s="12">
        <f t="shared" si="0"/>
        <v>203025.04838709679</v>
      </c>
      <c r="I53" s="44">
        <f t="shared" si="1"/>
        <v>19</v>
      </c>
      <c r="J53" s="31">
        <v>52</v>
      </c>
      <c r="K53" s="31" t="s">
        <v>55</v>
      </c>
    </row>
    <row r="54" spans="1:11" ht="14.25" customHeight="1" x14ac:dyDescent="0.35">
      <c r="A54" s="9">
        <v>43958</v>
      </c>
      <c r="B54" s="2" t="s">
        <v>11</v>
      </c>
      <c r="C54" s="10">
        <v>73204.5</v>
      </c>
      <c r="D54" s="10">
        <v>6591883.5</v>
      </c>
      <c r="E54" s="10">
        <f>SUMIFS(Лист2!$C:$C,Лист2!$A:$A,$A54,Лист2!$B:$B,$B54)</f>
        <v>31</v>
      </c>
      <c r="F54" s="10">
        <f>SUMIFS(Лист2!$D:$D,Лист2!$A:$A,$A54,Лист2!$B:$B,$B54)</f>
        <v>4903</v>
      </c>
      <c r="G54" s="10">
        <f>SUMIFS(Лист2!$E:$E,Лист2!$A:$A,$A54,Лист2!$B:$B,$B54)</f>
        <v>4527</v>
      </c>
      <c r="H54" s="10">
        <f t="shared" si="0"/>
        <v>212641.40322580645</v>
      </c>
      <c r="I54" s="43">
        <f t="shared" si="1"/>
        <v>19</v>
      </c>
      <c r="J54" s="30">
        <v>53</v>
      </c>
      <c r="K54" s="30" t="s">
        <v>55</v>
      </c>
    </row>
    <row r="55" spans="1:11" ht="14.25" customHeight="1" x14ac:dyDescent="0.35">
      <c r="A55" s="11">
        <v>43975</v>
      </c>
      <c r="B55" s="4" t="s">
        <v>11</v>
      </c>
      <c r="C55" s="12">
        <v>76663.5</v>
      </c>
      <c r="D55" s="12">
        <v>6451032</v>
      </c>
      <c r="E55" s="12">
        <f>SUMIFS(Лист2!$C:$C,Лист2!$A:$A,$A55,Лист2!$B:$B,$B55)</f>
        <v>31</v>
      </c>
      <c r="F55" s="12">
        <f>SUMIFS(Лист2!$D:$D,Лист2!$A:$A,$A55,Лист2!$B:$B,$B55)</f>
        <v>5035</v>
      </c>
      <c r="G55" s="12">
        <f>SUMIFS(Лист2!$E:$E,Лист2!$A:$A,$A55,Лист2!$B:$B,$B55)</f>
        <v>4683</v>
      </c>
      <c r="H55" s="12">
        <f t="shared" si="0"/>
        <v>208097.80645161291</v>
      </c>
      <c r="I55" s="44">
        <f t="shared" si="1"/>
        <v>21</v>
      </c>
      <c r="J55" s="31">
        <v>54</v>
      </c>
      <c r="K55" s="31" t="s">
        <v>57</v>
      </c>
    </row>
    <row r="56" spans="1:11" ht="14.25" customHeight="1" x14ac:dyDescent="0.35">
      <c r="A56" s="9">
        <v>43967</v>
      </c>
      <c r="B56" s="2" t="s">
        <v>12</v>
      </c>
      <c r="C56" s="10">
        <v>14265</v>
      </c>
      <c r="D56" s="10">
        <v>1130506.5</v>
      </c>
      <c r="E56" s="10">
        <f>SUMIFS(Лист2!$C:$C,Лист2!$A:$A,$A56,Лист2!$B:$B,$B56)</f>
        <v>10</v>
      </c>
      <c r="F56" s="10">
        <f>SUMIFS(Лист2!$D:$D,Лист2!$A:$A,$A56,Лист2!$B:$B,$B56)</f>
        <v>760</v>
      </c>
      <c r="G56" s="10">
        <f>SUMIFS(Лист2!$E:$E,Лист2!$A:$A,$A56,Лист2!$B:$B,$B56)</f>
        <v>672</v>
      </c>
      <c r="H56" s="10">
        <f t="shared" si="0"/>
        <v>113050.65</v>
      </c>
      <c r="I56" s="43">
        <f t="shared" si="1"/>
        <v>20</v>
      </c>
      <c r="J56" s="30">
        <v>55</v>
      </c>
      <c r="K56" s="30" t="s">
        <v>56</v>
      </c>
    </row>
    <row r="57" spans="1:11" ht="14.25" customHeight="1" x14ac:dyDescent="0.35">
      <c r="A57" s="11">
        <v>43970</v>
      </c>
      <c r="B57" s="4" t="s">
        <v>12</v>
      </c>
      <c r="C57" s="12">
        <v>11526</v>
      </c>
      <c r="D57" s="12">
        <v>938764.5</v>
      </c>
      <c r="E57" s="12">
        <f>SUMIFS(Лист2!$C:$C,Лист2!$A:$A,$A57,Лист2!$B:$B,$B57)</f>
        <v>10</v>
      </c>
      <c r="F57" s="12">
        <f>SUMIFS(Лист2!$D:$D,Лист2!$A:$A,$A57,Лист2!$B:$B,$B57)</f>
        <v>649</v>
      </c>
      <c r="G57" s="12">
        <f>SUMIFS(Лист2!$E:$E,Лист2!$A:$A,$A57,Лист2!$B:$B,$B57)</f>
        <v>568</v>
      </c>
      <c r="H57" s="12">
        <f t="shared" si="0"/>
        <v>93876.45</v>
      </c>
      <c r="I57" s="44">
        <f t="shared" si="1"/>
        <v>21</v>
      </c>
      <c r="J57" s="31">
        <v>56</v>
      </c>
      <c r="K57" s="31" t="s">
        <v>57</v>
      </c>
    </row>
    <row r="58" spans="1:11" ht="14.25" customHeight="1" x14ac:dyDescent="0.35">
      <c r="A58" s="9">
        <v>43968</v>
      </c>
      <c r="B58" s="2" t="s">
        <v>12</v>
      </c>
      <c r="C58" s="10">
        <v>10402.5</v>
      </c>
      <c r="D58" s="10">
        <v>843727.5</v>
      </c>
      <c r="E58" s="10">
        <f>SUMIFS(Лист2!$C:$C,Лист2!$A:$A,$A58,Лист2!$B:$B,$B58)</f>
        <v>10</v>
      </c>
      <c r="F58" s="10">
        <f>SUMIFS(Лист2!$D:$D,Лист2!$A:$A,$A58,Лист2!$B:$B,$B58)</f>
        <v>591</v>
      </c>
      <c r="G58" s="10">
        <f>SUMIFS(Лист2!$E:$E,Лист2!$A:$A,$A58,Лист2!$B:$B,$B58)</f>
        <v>513</v>
      </c>
      <c r="H58" s="10">
        <f t="shared" si="0"/>
        <v>84372.75</v>
      </c>
      <c r="I58" s="43">
        <f t="shared" si="1"/>
        <v>20</v>
      </c>
      <c r="J58" s="30">
        <v>57</v>
      </c>
      <c r="K58" s="30" t="s">
        <v>56</v>
      </c>
    </row>
    <row r="59" spans="1:11" ht="14.25" customHeight="1" x14ac:dyDescent="0.35">
      <c r="A59" s="11">
        <v>43960</v>
      </c>
      <c r="B59" s="4" t="s">
        <v>12</v>
      </c>
      <c r="C59" s="12">
        <v>13216.5</v>
      </c>
      <c r="D59" s="12">
        <v>1046400</v>
      </c>
      <c r="E59" s="12">
        <f>SUMIFS(Лист2!$C:$C,Лист2!$A:$A,$A59,Лист2!$B:$B,$B59)</f>
        <v>10</v>
      </c>
      <c r="F59" s="12">
        <f>SUMIFS(Лист2!$D:$D,Лист2!$A:$A,$A59,Лист2!$B:$B,$B59)</f>
        <v>644</v>
      </c>
      <c r="G59" s="12">
        <f>SUMIFS(Лист2!$E:$E,Лист2!$A:$A,$A59,Лист2!$B:$B,$B59)</f>
        <v>559</v>
      </c>
      <c r="H59" s="12">
        <f t="shared" si="0"/>
        <v>104640</v>
      </c>
      <c r="I59" s="44">
        <f t="shared" si="1"/>
        <v>19</v>
      </c>
      <c r="J59" s="31">
        <v>58</v>
      </c>
      <c r="K59" s="31" t="s">
        <v>55</v>
      </c>
    </row>
    <row r="60" spans="1:11" ht="14.25" customHeight="1" x14ac:dyDescent="0.35">
      <c r="A60" s="9">
        <v>43955</v>
      </c>
      <c r="B60" s="2" t="s">
        <v>12</v>
      </c>
      <c r="C60" s="10">
        <v>9130.5</v>
      </c>
      <c r="D60" s="10">
        <v>728890.5</v>
      </c>
      <c r="E60" s="10">
        <f>SUMIFS(Лист2!$C:$C,Лист2!$A:$A,$A60,Лист2!$B:$B,$B60)</f>
        <v>10</v>
      </c>
      <c r="F60" s="10">
        <f>SUMIFS(Лист2!$D:$D,Лист2!$A:$A,$A60,Лист2!$B:$B,$B60)</f>
        <v>462</v>
      </c>
      <c r="G60" s="10">
        <f>SUMIFS(Лист2!$E:$E,Лист2!$A:$A,$A60,Лист2!$B:$B,$B60)</f>
        <v>396</v>
      </c>
      <c r="H60" s="10">
        <f t="shared" si="0"/>
        <v>72889.05</v>
      </c>
      <c r="I60" s="43">
        <f t="shared" si="1"/>
        <v>19</v>
      </c>
      <c r="J60" s="30">
        <v>59</v>
      </c>
      <c r="K60" s="30" t="s">
        <v>55</v>
      </c>
    </row>
    <row r="61" spans="1:11" ht="14.25" customHeight="1" x14ac:dyDescent="0.35">
      <c r="A61" s="11">
        <v>43950</v>
      </c>
      <c r="B61" s="4" t="s">
        <v>12</v>
      </c>
      <c r="C61" s="12">
        <v>10840.5</v>
      </c>
      <c r="D61" s="12">
        <v>797919</v>
      </c>
      <c r="E61" s="12">
        <f>SUMIFS(Лист2!$C:$C,Лист2!$A:$A,$A61,Лист2!$B:$B,$B61)</f>
        <v>10</v>
      </c>
      <c r="F61" s="12">
        <f>SUMIFS(Лист2!$D:$D,Лист2!$A:$A,$A61,Лист2!$B:$B,$B61)</f>
        <v>502</v>
      </c>
      <c r="G61" s="12">
        <f>SUMIFS(Лист2!$E:$E,Лист2!$A:$A,$A61,Лист2!$B:$B,$B61)</f>
        <v>433</v>
      </c>
      <c r="H61" s="12">
        <f t="shared" si="0"/>
        <v>79791.899999999994</v>
      </c>
      <c r="I61" s="44">
        <f t="shared" si="1"/>
        <v>18</v>
      </c>
      <c r="J61" s="31">
        <v>60</v>
      </c>
      <c r="K61" s="31" t="s">
        <v>54</v>
      </c>
    </row>
    <row r="62" spans="1:11" ht="14.25" customHeight="1" x14ac:dyDescent="0.35">
      <c r="A62" s="9">
        <v>43953</v>
      </c>
      <c r="B62" s="2" t="s">
        <v>12</v>
      </c>
      <c r="C62" s="10">
        <v>7866</v>
      </c>
      <c r="D62" s="10">
        <v>617881.5</v>
      </c>
      <c r="E62" s="10">
        <f>SUMIFS(Лист2!$C:$C,Лист2!$A:$A,$A62,Лист2!$B:$B,$B62)</f>
        <v>10</v>
      </c>
      <c r="F62" s="10">
        <f>SUMIFS(Лист2!$D:$D,Лист2!$A:$A,$A62,Лист2!$B:$B,$B62)</f>
        <v>416</v>
      </c>
      <c r="G62" s="10">
        <f>SUMIFS(Лист2!$E:$E,Лист2!$A:$A,$A62,Лист2!$B:$B,$B62)</f>
        <v>341</v>
      </c>
      <c r="H62" s="10">
        <f t="shared" si="0"/>
        <v>61788.15</v>
      </c>
      <c r="I62" s="43">
        <f t="shared" si="1"/>
        <v>18</v>
      </c>
      <c r="J62" s="30">
        <v>61</v>
      </c>
      <c r="K62" s="30" t="s">
        <v>54</v>
      </c>
    </row>
    <row r="63" spans="1:11" ht="14.25" customHeight="1" x14ac:dyDescent="0.35">
      <c r="A63" s="11">
        <v>43977</v>
      </c>
      <c r="B63" s="4" t="s">
        <v>12</v>
      </c>
      <c r="C63" s="12">
        <v>11835</v>
      </c>
      <c r="D63" s="12">
        <v>983109</v>
      </c>
      <c r="E63" s="12">
        <f>SUMIFS(Лист2!$C:$C,Лист2!$A:$A,$A63,Лист2!$B:$B,$B63)</f>
        <v>10</v>
      </c>
      <c r="F63" s="12">
        <f>SUMIFS(Лист2!$D:$D,Лист2!$A:$A,$A63,Лист2!$B:$B,$B63)</f>
        <v>692</v>
      </c>
      <c r="G63" s="12">
        <f>SUMIFS(Лист2!$E:$E,Лист2!$A:$A,$A63,Лист2!$B:$B,$B63)</f>
        <v>601</v>
      </c>
      <c r="H63" s="12">
        <f t="shared" si="0"/>
        <v>98310.9</v>
      </c>
      <c r="I63" s="44">
        <f t="shared" si="1"/>
        <v>22</v>
      </c>
      <c r="J63" s="31">
        <v>62</v>
      </c>
      <c r="K63" s="31" t="s">
        <v>58</v>
      </c>
    </row>
    <row r="64" spans="1:11" ht="14.25" customHeight="1" x14ac:dyDescent="0.35">
      <c r="A64" s="9">
        <v>43952</v>
      </c>
      <c r="B64" s="2" t="s">
        <v>12</v>
      </c>
      <c r="C64" s="10">
        <v>11619</v>
      </c>
      <c r="D64" s="10">
        <v>891139.5</v>
      </c>
      <c r="E64" s="10">
        <f>SUMIFS(Лист2!$C:$C,Лист2!$A:$A,$A64,Лист2!$B:$B,$B64)</f>
        <v>10</v>
      </c>
      <c r="F64" s="10">
        <f>SUMIFS(Лист2!$D:$D,Лист2!$A:$A,$A64,Лист2!$B:$B,$B64)</f>
        <v>554</v>
      </c>
      <c r="G64" s="10">
        <f>SUMIFS(Лист2!$E:$E,Лист2!$A:$A,$A64,Лист2!$B:$B,$B64)</f>
        <v>472</v>
      </c>
      <c r="H64" s="10">
        <f t="shared" si="0"/>
        <v>89113.95</v>
      </c>
      <c r="I64" s="43">
        <f t="shared" si="1"/>
        <v>18</v>
      </c>
      <c r="J64" s="30">
        <v>63</v>
      </c>
      <c r="K64" s="30" t="s">
        <v>54</v>
      </c>
    </row>
    <row r="65" spans="1:11" ht="14.25" customHeight="1" x14ac:dyDescent="0.35">
      <c r="A65" s="11">
        <v>43963</v>
      </c>
      <c r="B65" s="4" t="s">
        <v>12</v>
      </c>
      <c r="C65" s="12">
        <v>9328.5</v>
      </c>
      <c r="D65" s="12">
        <v>732964.5</v>
      </c>
      <c r="E65" s="12">
        <f>SUMIFS(Лист2!$C:$C,Лист2!$A:$A,$A65,Лист2!$B:$B,$B65)</f>
        <v>10</v>
      </c>
      <c r="F65" s="12">
        <f>SUMIFS(Лист2!$D:$D,Лист2!$A:$A,$A65,Лист2!$B:$B,$B65)</f>
        <v>526</v>
      </c>
      <c r="G65" s="12">
        <f>SUMIFS(Лист2!$E:$E,Лист2!$A:$A,$A65,Лист2!$B:$B,$B65)</f>
        <v>448</v>
      </c>
      <c r="H65" s="12">
        <f t="shared" si="0"/>
        <v>73296.45</v>
      </c>
      <c r="I65" s="44">
        <f t="shared" si="1"/>
        <v>20</v>
      </c>
      <c r="J65" s="31">
        <v>64</v>
      </c>
      <c r="K65" s="31" t="s">
        <v>56</v>
      </c>
    </row>
    <row r="66" spans="1:11" ht="14.25" customHeight="1" x14ac:dyDescent="0.35">
      <c r="A66" s="9">
        <v>43972</v>
      </c>
      <c r="B66" s="2" t="s">
        <v>12</v>
      </c>
      <c r="C66" s="10">
        <v>11250</v>
      </c>
      <c r="D66" s="10">
        <v>935523</v>
      </c>
      <c r="E66" s="10">
        <f>SUMIFS(Лист2!$C:$C,Лист2!$A:$A,$A66,Лист2!$B:$B,$B66)</f>
        <v>10</v>
      </c>
      <c r="F66" s="10">
        <f>SUMIFS(Лист2!$D:$D,Лист2!$A:$A,$A66,Лист2!$B:$B,$B66)</f>
        <v>677</v>
      </c>
      <c r="G66" s="10">
        <f>SUMIFS(Лист2!$E:$E,Лист2!$A:$A,$A66,Лист2!$B:$B,$B66)</f>
        <v>591</v>
      </c>
      <c r="H66" s="10">
        <f t="shared" ref="H66:H129" si="2">IFERROR($D66/$E66,0)</f>
        <v>93552.3</v>
      </c>
      <c r="I66" s="43">
        <f t="shared" ref="I66:I129" si="3">WEEKNUM($A66,21)</f>
        <v>21</v>
      </c>
      <c r="J66" s="30">
        <v>65</v>
      </c>
      <c r="K66" s="30" t="s">
        <v>57</v>
      </c>
    </row>
    <row r="67" spans="1:11" ht="14.25" customHeight="1" x14ac:dyDescent="0.35">
      <c r="A67" s="11">
        <v>43971</v>
      </c>
      <c r="B67" s="4" t="s">
        <v>12</v>
      </c>
      <c r="C67" s="12">
        <v>13063.5</v>
      </c>
      <c r="D67" s="12">
        <v>1037247</v>
      </c>
      <c r="E67" s="12">
        <f>SUMIFS(Лист2!$C:$C,Лист2!$A:$A,$A67,Лист2!$B:$B,$B67)</f>
        <v>10</v>
      </c>
      <c r="F67" s="12">
        <f>SUMIFS(Лист2!$D:$D,Лист2!$A:$A,$A67,Лист2!$B:$B,$B67)</f>
        <v>745</v>
      </c>
      <c r="G67" s="12">
        <f>SUMIFS(Лист2!$E:$E,Лист2!$A:$A,$A67,Лист2!$B:$B,$B67)</f>
        <v>654</v>
      </c>
      <c r="H67" s="12">
        <f t="shared" si="2"/>
        <v>103724.7</v>
      </c>
      <c r="I67" s="44">
        <f t="shared" si="3"/>
        <v>21</v>
      </c>
      <c r="J67" s="31">
        <v>66</v>
      </c>
      <c r="K67" s="31" t="s">
        <v>57</v>
      </c>
    </row>
    <row r="68" spans="1:11" ht="14.25" customHeight="1" x14ac:dyDescent="0.35">
      <c r="A68" s="9">
        <v>43956</v>
      </c>
      <c r="B68" s="2" t="s">
        <v>12</v>
      </c>
      <c r="C68" s="10">
        <v>10147.5</v>
      </c>
      <c r="D68" s="10">
        <v>793320</v>
      </c>
      <c r="E68" s="10">
        <f>SUMIFS(Лист2!$C:$C,Лист2!$A:$A,$A68,Лист2!$B:$B,$B68)</f>
        <v>10</v>
      </c>
      <c r="F68" s="10">
        <f>SUMIFS(Лист2!$D:$D,Лист2!$A:$A,$A68,Лист2!$B:$B,$B68)</f>
        <v>511</v>
      </c>
      <c r="G68" s="10">
        <f>SUMIFS(Лист2!$E:$E,Лист2!$A:$A,$A68,Лист2!$B:$B,$B68)</f>
        <v>437</v>
      </c>
      <c r="H68" s="10">
        <f t="shared" si="2"/>
        <v>79332</v>
      </c>
      <c r="I68" s="43">
        <f t="shared" si="3"/>
        <v>19</v>
      </c>
      <c r="J68" s="30">
        <v>67</v>
      </c>
      <c r="K68" s="30" t="s">
        <v>55</v>
      </c>
    </row>
    <row r="69" spans="1:11" ht="14.25" customHeight="1" x14ac:dyDescent="0.35">
      <c r="A69" s="11">
        <v>43949</v>
      </c>
      <c r="B69" s="4" t="s">
        <v>12</v>
      </c>
      <c r="C69" s="12">
        <v>12331.5</v>
      </c>
      <c r="D69" s="12">
        <v>869983.5</v>
      </c>
      <c r="E69" s="12">
        <f>SUMIFS(Лист2!$C:$C,Лист2!$A:$A,$A69,Лист2!$B:$B,$B69)</f>
        <v>10</v>
      </c>
      <c r="F69" s="12">
        <f>SUMIFS(Лист2!$D:$D,Лист2!$A:$A,$A69,Лист2!$B:$B,$B69)</f>
        <v>580</v>
      </c>
      <c r="G69" s="12">
        <f>SUMIFS(Лист2!$E:$E,Лист2!$A:$A,$A69,Лист2!$B:$B,$B69)</f>
        <v>506</v>
      </c>
      <c r="H69" s="12">
        <f t="shared" si="2"/>
        <v>86998.35</v>
      </c>
      <c r="I69" s="44">
        <f t="shared" si="3"/>
        <v>18</v>
      </c>
      <c r="J69" s="31">
        <v>68</v>
      </c>
      <c r="K69" s="31" t="s">
        <v>54</v>
      </c>
    </row>
    <row r="70" spans="1:11" ht="14.25" customHeight="1" x14ac:dyDescent="0.35">
      <c r="A70" s="9">
        <v>43964</v>
      </c>
      <c r="B70" s="2" t="s">
        <v>12</v>
      </c>
      <c r="C70" s="10">
        <v>11202</v>
      </c>
      <c r="D70" s="10">
        <v>865714.5</v>
      </c>
      <c r="E70" s="10">
        <f>SUMIFS(Лист2!$C:$C,Лист2!$A:$A,$A70,Лист2!$B:$B,$B70)</f>
        <v>10</v>
      </c>
      <c r="F70" s="10">
        <f>SUMIFS(Лист2!$D:$D,Лист2!$A:$A,$A70,Лист2!$B:$B,$B70)</f>
        <v>612</v>
      </c>
      <c r="G70" s="10">
        <f>SUMIFS(Лист2!$E:$E,Лист2!$A:$A,$A70,Лист2!$B:$B,$B70)</f>
        <v>530</v>
      </c>
      <c r="H70" s="10">
        <f t="shared" si="2"/>
        <v>86571.45</v>
      </c>
      <c r="I70" s="43">
        <f t="shared" si="3"/>
        <v>20</v>
      </c>
      <c r="J70" s="30">
        <v>69</v>
      </c>
      <c r="K70" s="30" t="s">
        <v>56</v>
      </c>
    </row>
    <row r="71" spans="1:11" ht="14.25" customHeight="1" x14ac:dyDescent="0.35">
      <c r="A71" s="11">
        <v>43982</v>
      </c>
      <c r="B71" s="4" t="s">
        <v>11</v>
      </c>
      <c r="C71" s="12">
        <v>89149.5</v>
      </c>
      <c r="D71" s="12">
        <v>7512646.5</v>
      </c>
      <c r="E71" s="12">
        <f>SUMIFS(Лист2!$C:$C,Лист2!$A:$A,$A71,Лист2!$B:$B,$B71)</f>
        <v>31</v>
      </c>
      <c r="F71" s="12">
        <f>SUMIFS(Лист2!$D:$D,Лист2!$A:$A,$A71,Лист2!$B:$B,$B71)</f>
        <v>5760</v>
      </c>
      <c r="G71" s="12">
        <f>SUMIFS(Лист2!$E:$E,Лист2!$A:$A,$A71,Лист2!$B:$B,$B71)</f>
        <v>5367</v>
      </c>
      <c r="H71" s="12">
        <f t="shared" si="2"/>
        <v>242343.43548387097</v>
      </c>
      <c r="I71" s="44">
        <f t="shared" si="3"/>
        <v>22</v>
      </c>
      <c r="J71" s="31">
        <v>70</v>
      </c>
      <c r="K71" s="31" t="s">
        <v>58</v>
      </c>
    </row>
    <row r="72" spans="1:11" ht="14.25" customHeight="1" x14ac:dyDescent="0.35">
      <c r="A72" s="9">
        <v>43954</v>
      </c>
      <c r="B72" s="2" t="s">
        <v>12</v>
      </c>
      <c r="C72" s="10">
        <v>8185.5</v>
      </c>
      <c r="D72" s="10">
        <v>637881</v>
      </c>
      <c r="E72" s="10">
        <f>SUMIFS(Лист2!$C:$C,Лист2!$A:$A,$A72,Лист2!$B:$B,$B72)</f>
        <v>10</v>
      </c>
      <c r="F72" s="10">
        <f>SUMIFS(Лист2!$D:$D,Лист2!$A:$A,$A72,Лист2!$B:$B,$B72)</f>
        <v>402</v>
      </c>
      <c r="G72" s="10">
        <f>SUMIFS(Лист2!$E:$E,Лист2!$A:$A,$A72,Лист2!$B:$B,$B72)</f>
        <v>333</v>
      </c>
      <c r="H72" s="10">
        <f t="shared" si="2"/>
        <v>63788.1</v>
      </c>
      <c r="I72" s="43">
        <f t="shared" si="3"/>
        <v>18</v>
      </c>
      <c r="J72" s="30">
        <v>71</v>
      </c>
      <c r="K72" s="30" t="s">
        <v>54</v>
      </c>
    </row>
    <row r="73" spans="1:11" ht="14.25" customHeight="1" x14ac:dyDescent="0.35">
      <c r="A73" s="11">
        <v>43981</v>
      </c>
      <c r="B73" s="4" t="s">
        <v>11</v>
      </c>
      <c r="C73" s="12">
        <v>108123</v>
      </c>
      <c r="D73" s="12">
        <v>9164707.5</v>
      </c>
      <c r="E73" s="12">
        <f>SUMIFS(Лист2!$C:$C,Лист2!$A:$A,$A73,Лист2!$B:$B,$B73)</f>
        <v>31</v>
      </c>
      <c r="F73" s="12">
        <f>SUMIFS(Лист2!$D:$D,Лист2!$A:$A,$A73,Лист2!$B:$B,$B73)</f>
        <v>6735</v>
      </c>
      <c r="G73" s="12">
        <f>SUMIFS(Лист2!$E:$E,Лист2!$A:$A,$A73,Лист2!$B:$B,$B73)</f>
        <v>6264</v>
      </c>
      <c r="H73" s="12">
        <f t="shared" si="2"/>
        <v>295635.72580645164</v>
      </c>
      <c r="I73" s="44">
        <f t="shared" si="3"/>
        <v>22</v>
      </c>
      <c r="J73" s="31">
        <v>72</v>
      </c>
      <c r="K73" s="31" t="s">
        <v>58</v>
      </c>
    </row>
    <row r="74" spans="1:11" ht="14.25" customHeight="1" x14ac:dyDescent="0.35">
      <c r="A74" s="9">
        <v>43957</v>
      </c>
      <c r="B74" s="2" t="s">
        <v>12</v>
      </c>
      <c r="C74" s="10">
        <v>9210</v>
      </c>
      <c r="D74" s="10">
        <v>696832.5</v>
      </c>
      <c r="E74" s="10">
        <f>SUMIFS(Лист2!$C:$C,Лист2!$A:$A,$A74,Лист2!$B:$B,$B74)</f>
        <v>10</v>
      </c>
      <c r="F74" s="10">
        <f>SUMIFS(Лист2!$D:$D,Лист2!$A:$A,$A74,Лист2!$B:$B,$B74)</f>
        <v>465</v>
      </c>
      <c r="G74" s="10">
        <f>SUMIFS(Лист2!$E:$E,Лист2!$A:$A,$A74,Лист2!$B:$B,$B74)</f>
        <v>390</v>
      </c>
      <c r="H74" s="10">
        <f t="shared" si="2"/>
        <v>69683.25</v>
      </c>
      <c r="I74" s="43">
        <f t="shared" si="3"/>
        <v>19</v>
      </c>
      <c r="J74" s="30">
        <v>73</v>
      </c>
      <c r="K74" s="30" t="s">
        <v>55</v>
      </c>
    </row>
    <row r="75" spans="1:11" ht="14.25" customHeight="1" x14ac:dyDescent="0.35">
      <c r="A75" s="11">
        <v>43974</v>
      </c>
      <c r="B75" s="4" t="s">
        <v>12</v>
      </c>
      <c r="C75" s="12">
        <v>14773.5</v>
      </c>
      <c r="D75" s="12">
        <v>1241383.5</v>
      </c>
      <c r="E75" s="12">
        <f>SUMIFS(Лист2!$C:$C,Лист2!$A:$A,$A75,Лист2!$B:$B,$B75)</f>
        <v>10</v>
      </c>
      <c r="F75" s="12">
        <f>SUMIFS(Лист2!$D:$D,Лист2!$A:$A,$A75,Лист2!$B:$B,$B75)</f>
        <v>828</v>
      </c>
      <c r="G75" s="12">
        <f>SUMIFS(Лист2!$E:$E,Лист2!$A:$A,$A75,Лист2!$B:$B,$B75)</f>
        <v>734</v>
      </c>
      <c r="H75" s="12">
        <f t="shared" si="2"/>
        <v>124138.35</v>
      </c>
      <c r="I75" s="44">
        <f t="shared" si="3"/>
        <v>21</v>
      </c>
      <c r="J75" s="31">
        <v>74</v>
      </c>
      <c r="K75" s="31" t="s">
        <v>57</v>
      </c>
    </row>
    <row r="76" spans="1:11" ht="14.25" customHeight="1" x14ac:dyDescent="0.35">
      <c r="A76" s="9">
        <v>43979</v>
      </c>
      <c r="B76" s="2" t="s">
        <v>11</v>
      </c>
      <c r="C76" s="10">
        <v>78141</v>
      </c>
      <c r="D76" s="10">
        <v>6641569.5</v>
      </c>
      <c r="E76" s="10">
        <f>SUMIFS(Лист2!$C:$C,Лист2!$A:$A,$A76,Лист2!$B:$B,$B76)</f>
        <v>31</v>
      </c>
      <c r="F76" s="10">
        <f>SUMIFS(Лист2!$D:$D,Лист2!$A:$A,$A76,Лист2!$B:$B,$B76)</f>
        <v>5355</v>
      </c>
      <c r="G76" s="10">
        <f>SUMIFS(Лист2!$E:$E,Лист2!$A:$A,$A76,Лист2!$B:$B,$B76)</f>
        <v>4969</v>
      </c>
      <c r="H76" s="10">
        <f t="shared" si="2"/>
        <v>214244.17741935485</v>
      </c>
      <c r="I76" s="43">
        <f t="shared" si="3"/>
        <v>22</v>
      </c>
      <c r="J76" s="30">
        <v>75</v>
      </c>
      <c r="K76" s="30" t="s">
        <v>58</v>
      </c>
    </row>
    <row r="77" spans="1:11" ht="14.25" customHeight="1" x14ac:dyDescent="0.35">
      <c r="A77" s="11">
        <v>43976</v>
      </c>
      <c r="B77" s="4" t="s">
        <v>12</v>
      </c>
      <c r="C77" s="12">
        <v>12280.5</v>
      </c>
      <c r="D77" s="12">
        <v>1030440</v>
      </c>
      <c r="E77" s="12">
        <f>SUMIFS(Лист2!$C:$C,Лист2!$A:$A,$A77,Лист2!$B:$B,$B77)</f>
        <v>10</v>
      </c>
      <c r="F77" s="12">
        <f>SUMIFS(Лист2!$D:$D,Лист2!$A:$A,$A77,Лист2!$B:$B,$B77)</f>
        <v>739</v>
      </c>
      <c r="G77" s="12">
        <f>SUMIFS(Лист2!$E:$E,Лист2!$A:$A,$A77,Лист2!$B:$B,$B77)</f>
        <v>642</v>
      </c>
      <c r="H77" s="12">
        <f t="shared" si="2"/>
        <v>103044</v>
      </c>
      <c r="I77" s="44">
        <f t="shared" si="3"/>
        <v>22</v>
      </c>
      <c r="J77" s="31">
        <v>76</v>
      </c>
      <c r="K77" s="31" t="s">
        <v>58</v>
      </c>
    </row>
    <row r="78" spans="1:11" ht="14.25" customHeight="1" x14ac:dyDescent="0.35">
      <c r="A78" s="9">
        <v>43951</v>
      </c>
      <c r="B78" s="2" t="s">
        <v>12</v>
      </c>
      <c r="C78" s="10">
        <v>8934</v>
      </c>
      <c r="D78" s="10">
        <v>716196</v>
      </c>
      <c r="E78" s="10">
        <f>SUMIFS(Лист2!$C:$C,Лист2!$A:$A,$A78,Лист2!$B:$B,$B78)</f>
        <v>10</v>
      </c>
      <c r="F78" s="10">
        <f>SUMIFS(Лист2!$D:$D,Лист2!$A:$A,$A78,Лист2!$B:$B,$B78)</f>
        <v>448</v>
      </c>
      <c r="G78" s="10">
        <f>SUMIFS(Лист2!$E:$E,Лист2!$A:$A,$A78,Лист2!$B:$B,$B78)</f>
        <v>376</v>
      </c>
      <c r="H78" s="10">
        <f t="shared" si="2"/>
        <v>71619.600000000006</v>
      </c>
      <c r="I78" s="43">
        <f t="shared" si="3"/>
        <v>18</v>
      </c>
      <c r="J78" s="30">
        <v>77</v>
      </c>
      <c r="K78" s="30" t="s">
        <v>54</v>
      </c>
    </row>
    <row r="79" spans="1:11" ht="14.25" customHeight="1" x14ac:dyDescent="0.35">
      <c r="A79" s="11">
        <v>43961</v>
      </c>
      <c r="B79" s="4" t="s">
        <v>12</v>
      </c>
      <c r="C79" s="12">
        <v>12918</v>
      </c>
      <c r="D79" s="12">
        <v>1004788.5</v>
      </c>
      <c r="E79" s="12">
        <f>SUMIFS(Лист2!$C:$C,Лист2!$A:$A,$A79,Лист2!$B:$B,$B79)</f>
        <v>10</v>
      </c>
      <c r="F79" s="12">
        <f>SUMIFS(Лист2!$D:$D,Лист2!$A:$A,$A79,Лист2!$B:$B,$B79)</f>
        <v>642</v>
      </c>
      <c r="G79" s="12">
        <f>SUMIFS(Лист2!$E:$E,Лист2!$A:$A,$A79,Лист2!$B:$B,$B79)</f>
        <v>556</v>
      </c>
      <c r="H79" s="12">
        <f t="shared" si="2"/>
        <v>100478.85</v>
      </c>
      <c r="I79" s="44">
        <f t="shared" si="3"/>
        <v>19</v>
      </c>
      <c r="J79" s="31">
        <v>78</v>
      </c>
      <c r="K79" s="31" t="s">
        <v>55</v>
      </c>
    </row>
    <row r="80" spans="1:11" ht="14.25" customHeight="1" x14ac:dyDescent="0.35">
      <c r="A80" s="9">
        <v>43959</v>
      </c>
      <c r="B80" s="2" t="s">
        <v>12</v>
      </c>
      <c r="C80" s="10">
        <v>12528</v>
      </c>
      <c r="D80" s="10">
        <v>959703</v>
      </c>
      <c r="E80" s="10">
        <f>SUMIFS(Лист2!$C:$C,Лист2!$A:$A,$A80,Лист2!$B:$B,$B80)</f>
        <v>10</v>
      </c>
      <c r="F80" s="10">
        <f>SUMIFS(Лист2!$D:$D,Лист2!$A:$A,$A80,Лист2!$B:$B,$B80)</f>
        <v>638</v>
      </c>
      <c r="G80" s="10">
        <f>SUMIFS(Лист2!$E:$E,Лист2!$A:$A,$A80,Лист2!$B:$B,$B80)</f>
        <v>547</v>
      </c>
      <c r="H80" s="10">
        <f t="shared" si="2"/>
        <v>95970.3</v>
      </c>
      <c r="I80" s="43">
        <f t="shared" si="3"/>
        <v>19</v>
      </c>
      <c r="J80" s="30">
        <v>79</v>
      </c>
      <c r="K80" s="30" t="s">
        <v>55</v>
      </c>
    </row>
    <row r="81" spans="1:11" ht="14.25" customHeight="1" x14ac:dyDescent="0.35">
      <c r="A81" s="11">
        <v>43958</v>
      </c>
      <c r="B81" s="4" t="s">
        <v>12</v>
      </c>
      <c r="C81" s="12">
        <v>11029.5</v>
      </c>
      <c r="D81" s="12">
        <v>863754</v>
      </c>
      <c r="E81" s="12">
        <f>SUMIFS(Лист2!$C:$C,Лист2!$A:$A,$A81,Лист2!$B:$B,$B81)</f>
        <v>10</v>
      </c>
      <c r="F81" s="12">
        <f>SUMIFS(Лист2!$D:$D,Лист2!$A:$A,$A81,Лист2!$B:$B,$B81)</f>
        <v>563</v>
      </c>
      <c r="G81" s="12">
        <f>SUMIFS(Лист2!$E:$E,Лист2!$A:$A,$A81,Лист2!$B:$B,$B81)</f>
        <v>486</v>
      </c>
      <c r="H81" s="12">
        <f t="shared" si="2"/>
        <v>86375.4</v>
      </c>
      <c r="I81" s="44">
        <f t="shared" si="3"/>
        <v>19</v>
      </c>
      <c r="J81" s="31">
        <v>80</v>
      </c>
      <c r="K81" s="31" t="s">
        <v>55</v>
      </c>
    </row>
    <row r="82" spans="1:11" ht="14.25" customHeight="1" x14ac:dyDescent="0.35">
      <c r="A82" s="9">
        <v>43975</v>
      </c>
      <c r="B82" s="2" t="s">
        <v>12</v>
      </c>
      <c r="C82" s="10">
        <v>9994.5</v>
      </c>
      <c r="D82" s="10">
        <v>828984</v>
      </c>
      <c r="E82" s="10">
        <f>SUMIFS(Лист2!$C:$C,Лист2!$A:$A,$A82,Лист2!$B:$B,$B82)</f>
        <v>10</v>
      </c>
      <c r="F82" s="10">
        <f>SUMIFS(Лист2!$D:$D,Лист2!$A:$A,$A82,Лист2!$B:$B,$B82)</f>
        <v>639</v>
      </c>
      <c r="G82" s="10">
        <f>SUMIFS(Лист2!$E:$E,Лист2!$A:$A,$A82,Лист2!$B:$B,$B82)</f>
        <v>557</v>
      </c>
      <c r="H82" s="10">
        <f t="shared" si="2"/>
        <v>82898.399999999994</v>
      </c>
      <c r="I82" s="43">
        <f t="shared" si="3"/>
        <v>21</v>
      </c>
      <c r="J82" s="30">
        <v>81</v>
      </c>
      <c r="K82" s="30" t="s">
        <v>57</v>
      </c>
    </row>
    <row r="83" spans="1:11" ht="14.25" customHeight="1" x14ac:dyDescent="0.35">
      <c r="A83" s="11">
        <v>43982</v>
      </c>
      <c r="B83" s="4" t="s">
        <v>12</v>
      </c>
      <c r="C83" s="12">
        <v>12724.5</v>
      </c>
      <c r="D83" s="12">
        <v>1045515</v>
      </c>
      <c r="E83" s="12">
        <f>SUMIFS(Лист2!$C:$C,Лист2!$A:$A,$A83,Лист2!$B:$B,$B83)</f>
        <v>10</v>
      </c>
      <c r="F83" s="12">
        <f>SUMIFS(Лист2!$D:$D,Лист2!$A:$A,$A83,Лист2!$B:$B,$B83)</f>
        <v>749</v>
      </c>
      <c r="G83" s="12">
        <f>SUMIFS(Лист2!$E:$E,Лист2!$A:$A,$A83,Лист2!$B:$B,$B83)</f>
        <v>655</v>
      </c>
      <c r="H83" s="12">
        <f t="shared" si="2"/>
        <v>104551.5</v>
      </c>
      <c r="I83" s="44">
        <f t="shared" si="3"/>
        <v>22</v>
      </c>
      <c r="J83" s="31">
        <v>82</v>
      </c>
      <c r="K83" s="31" t="s">
        <v>58</v>
      </c>
    </row>
    <row r="84" spans="1:11" ht="14.25" customHeight="1" x14ac:dyDescent="0.35">
      <c r="A84" s="9">
        <v>43981</v>
      </c>
      <c r="B84" s="2" t="s">
        <v>12</v>
      </c>
      <c r="C84" s="10">
        <v>14728.5</v>
      </c>
      <c r="D84" s="10">
        <v>1260483</v>
      </c>
      <c r="E84" s="10">
        <f>SUMIFS(Лист2!$C:$C,Лист2!$A:$A,$A84,Лист2!$B:$B,$B84)</f>
        <v>10</v>
      </c>
      <c r="F84" s="10">
        <f>SUMIFS(Лист2!$D:$D,Лист2!$A:$A,$A84,Лист2!$B:$B,$B84)</f>
        <v>865</v>
      </c>
      <c r="G84" s="10">
        <f>SUMIFS(Лист2!$E:$E,Лист2!$A:$A,$A84,Лист2!$B:$B,$B84)</f>
        <v>763</v>
      </c>
      <c r="H84" s="10">
        <f t="shared" si="2"/>
        <v>126048.3</v>
      </c>
      <c r="I84" s="43">
        <f t="shared" si="3"/>
        <v>22</v>
      </c>
      <c r="J84" s="30">
        <v>83</v>
      </c>
      <c r="K84" s="30" t="s">
        <v>58</v>
      </c>
    </row>
    <row r="85" spans="1:11" ht="14.25" customHeight="1" x14ac:dyDescent="0.35">
      <c r="A85" s="11">
        <v>43979</v>
      </c>
      <c r="B85" s="4" t="s">
        <v>12</v>
      </c>
      <c r="C85" s="12">
        <v>13038</v>
      </c>
      <c r="D85" s="12">
        <v>1114552.5</v>
      </c>
      <c r="E85" s="12">
        <f>SUMIFS(Лист2!$C:$C,Лист2!$A:$A,$A85,Лист2!$B:$B,$B85)</f>
        <v>10</v>
      </c>
      <c r="F85" s="12">
        <f>SUMIFS(Лист2!$D:$D,Лист2!$A:$A,$A85,Лист2!$B:$B,$B85)</f>
        <v>791</v>
      </c>
      <c r="G85" s="12">
        <f>SUMIFS(Лист2!$E:$E,Лист2!$A:$A,$A85,Лист2!$B:$B,$B85)</f>
        <v>697</v>
      </c>
      <c r="H85" s="12">
        <f t="shared" si="2"/>
        <v>111455.25</v>
      </c>
      <c r="I85" s="44">
        <f t="shared" si="3"/>
        <v>22</v>
      </c>
      <c r="J85" s="31">
        <v>84</v>
      </c>
      <c r="K85" s="31" t="s">
        <v>58</v>
      </c>
    </row>
    <row r="86" spans="1:11" ht="14.25" customHeight="1" x14ac:dyDescent="0.35">
      <c r="A86" s="9">
        <v>43967</v>
      </c>
      <c r="B86" s="2" t="s">
        <v>13</v>
      </c>
      <c r="C86" s="10">
        <v>35482.5</v>
      </c>
      <c r="D86" s="10">
        <v>3222517.5</v>
      </c>
      <c r="E86" s="10">
        <f>SUMIFS(Лист2!$C:$C,Лист2!$A:$A,$A86,Лист2!$B:$B,$B86)</f>
        <v>19</v>
      </c>
      <c r="F86" s="10">
        <f>SUMIFS(Лист2!$D:$D,Лист2!$A:$A,$A86,Лист2!$B:$B,$B86)</f>
        <v>2080</v>
      </c>
      <c r="G86" s="10">
        <f>SUMIFS(Лист2!$E:$E,Лист2!$A:$A,$A86,Лист2!$B:$B,$B86)</f>
        <v>1844</v>
      </c>
      <c r="H86" s="10">
        <f t="shared" si="2"/>
        <v>169606.18421052632</v>
      </c>
      <c r="I86" s="43">
        <f t="shared" si="3"/>
        <v>20</v>
      </c>
      <c r="J86" s="30">
        <v>85</v>
      </c>
      <c r="K86" s="30" t="s">
        <v>56</v>
      </c>
    </row>
    <row r="87" spans="1:11" ht="14.25" customHeight="1" x14ac:dyDescent="0.35">
      <c r="A87" s="11">
        <v>43970</v>
      </c>
      <c r="B87" s="4" t="s">
        <v>13</v>
      </c>
      <c r="C87" s="12">
        <v>32434.5</v>
      </c>
      <c r="D87" s="12">
        <v>2865337.5</v>
      </c>
      <c r="E87" s="12">
        <f>SUMIFS(Лист2!$C:$C,Лист2!$A:$A,$A87,Лист2!$B:$B,$B87)</f>
        <v>19</v>
      </c>
      <c r="F87" s="12">
        <f>SUMIFS(Лист2!$D:$D,Лист2!$A:$A,$A87,Лист2!$B:$B,$B87)</f>
        <v>1999</v>
      </c>
      <c r="G87" s="12">
        <f>SUMIFS(Лист2!$E:$E,Лист2!$A:$A,$A87,Лист2!$B:$B,$B87)</f>
        <v>1799</v>
      </c>
      <c r="H87" s="12">
        <f t="shared" si="2"/>
        <v>150807.23684210525</v>
      </c>
      <c r="I87" s="44">
        <f t="shared" si="3"/>
        <v>21</v>
      </c>
      <c r="J87" s="31">
        <v>86</v>
      </c>
      <c r="K87" s="31" t="s">
        <v>57</v>
      </c>
    </row>
    <row r="88" spans="1:11" ht="14.25" customHeight="1" x14ac:dyDescent="0.35">
      <c r="A88" s="9">
        <v>43968</v>
      </c>
      <c r="B88" s="2" t="s">
        <v>13</v>
      </c>
      <c r="C88" s="10">
        <v>30486</v>
      </c>
      <c r="D88" s="10">
        <v>2694289.5</v>
      </c>
      <c r="E88" s="10">
        <f>SUMIFS(Лист2!$C:$C,Лист2!$A:$A,$A88,Лист2!$B:$B,$B88)</f>
        <v>19</v>
      </c>
      <c r="F88" s="10">
        <f>SUMIFS(Лист2!$D:$D,Лист2!$A:$A,$A88,Лист2!$B:$B,$B88)</f>
        <v>1871</v>
      </c>
      <c r="G88" s="10">
        <f>SUMIFS(Лист2!$E:$E,Лист2!$A:$A,$A88,Лист2!$B:$B,$B88)</f>
        <v>1660</v>
      </c>
      <c r="H88" s="10">
        <f t="shared" si="2"/>
        <v>141804.71052631579</v>
      </c>
      <c r="I88" s="43">
        <f t="shared" si="3"/>
        <v>20</v>
      </c>
      <c r="J88" s="30">
        <v>87</v>
      </c>
      <c r="K88" s="30" t="s">
        <v>56</v>
      </c>
    </row>
    <row r="89" spans="1:11" ht="14.25" customHeight="1" x14ac:dyDescent="0.35">
      <c r="A89" s="11">
        <v>43960</v>
      </c>
      <c r="B89" s="4" t="s">
        <v>13</v>
      </c>
      <c r="C89" s="12">
        <v>32079</v>
      </c>
      <c r="D89" s="12">
        <v>2902167</v>
      </c>
      <c r="E89" s="12">
        <f>SUMIFS(Лист2!$C:$C,Лист2!$A:$A,$A89,Лист2!$B:$B,$B89)</f>
        <v>19</v>
      </c>
      <c r="F89" s="12">
        <f>SUMIFS(Лист2!$D:$D,Лист2!$A:$A,$A89,Лист2!$B:$B,$B89)</f>
        <v>1851</v>
      </c>
      <c r="G89" s="12">
        <f>SUMIFS(Лист2!$E:$E,Лист2!$A:$A,$A89,Лист2!$B:$B,$B89)</f>
        <v>1635</v>
      </c>
      <c r="H89" s="12">
        <f t="shared" si="2"/>
        <v>152745.63157894736</v>
      </c>
      <c r="I89" s="44">
        <f t="shared" si="3"/>
        <v>19</v>
      </c>
      <c r="J89" s="31">
        <v>88</v>
      </c>
      <c r="K89" s="31" t="s">
        <v>55</v>
      </c>
    </row>
    <row r="90" spans="1:11" ht="14.25" customHeight="1" x14ac:dyDescent="0.35">
      <c r="A90" s="9">
        <v>43955</v>
      </c>
      <c r="B90" s="2" t="s">
        <v>13</v>
      </c>
      <c r="C90" s="10">
        <v>27072</v>
      </c>
      <c r="D90" s="10">
        <v>2450968.5</v>
      </c>
      <c r="E90" s="10">
        <f>SUMIFS(Лист2!$C:$C,Лист2!$A:$A,$A90,Лист2!$B:$B,$B90)</f>
        <v>19</v>
      </c>
      <c r="F90" s="10">
        <f>SUMIFS(Лист2!$D:$D,Лист2!$A:$A,$A90,Лист2!$B:$B,$B90)</f>
        <v>1582</v>
      </c>
      <c r="G90" s="10">
        <f>SUMIFS(Лист2!$E:$E,Лист2!$A:$A,$A90,Лист2!$B:$B,$B90)</f>
        <v>1403</v>
      </c>
      <c r="H90" s="10">
        <f t="shared" si="2"/>
        <v>128998.34210526316</v>
      </c>
      <c r="I90" s="43">
        <f t="shared" si="3"/>
        <v>19</v>
      </c>
      <c r="J90" s="30">
        <v>89</v>
      </c>
      <c r="K90" s="30" t="s">
        <v>55</v>
      </c>
    </row>
    <row r="91" spans="1:11" ht="14.25" customHeight="1" x14ac:dyDescent="0.35">
      <c r="A91" s="11">
        <v>43950</v>
      </c>
      <c r="B91" s="4" t="s">
        <v>13</v>
      </c>
      <c r="C91" s="12">
        <v>25917</v>
      </c>
      <c r="D91" s="12">
        <v>2397588</v>
      </c>
      <c r="E91" s="12">
        <f>SUMIFS(Лист2!$C:$C,Лист2!$A:$A,$A91,Лист2!$B:$B,$B91)</f>
        <v>18</v>
      </c>
      <c r="F91" s="12">
        <f>SUMIFS(Лист2!$D:$D,Лист2!$A:$A,$A91,Лист2!$B:$B,$B91)</f>
        <v>1534</v>
      </c>
      <c r="G91" s="12">
        <f>SUMIFS(Лист2!$E:$E,Лист2!$A:$A,$A91,Лист2!$B:$B,$B91)</f>
        <v>1369</v>
      </c>
      <c r="H91" s="12">
        <f t="shared" si="2"/>
        <v>133199.33333333334</v>
      </c>
      <c r="I91" s="44">
        <f t="shared" si="3"/>
        <v>18</v>
      </c>
      <c r="J91" s="31">
        <v>90</v>
      </c>
      <c r="K91" s="31" t="s">
        <v>54</v>
      </c>
    </row>
    <row r="92" spans="1:11" ht="14.25" customHeight="1" x14ac:dyDescent="0.35">
      <c r="A92" s="9">
        <v>43953</v>
      </c>
      <c r="B92" s="2" t="s">
        <v>13</v>
      </c>
      <c r="C92" s="10">
        <v>19461</v>
      </c>
      <c r="D92" s="10">
        <v>1799230.5</v>
      </c>
      <c r="E92" s="10">
        <f>SUMIFS(Лист2!$C:$C,Лист2!$A:$A,$A92,Лист2!$B:$B,$B92)</f>
        <v>19</v>
      </c>
      <c r="F92" s="10">
        <f>SUMIFS(Лист2!$D:$D,Лист2!$A:$A,$A92,Лист2!$B:$B,$B92)</f>
        <v>1217</v>
      </c>
      <c r="G92" s="10">
        <f>SUMIFS(Лист2!$E:$E,Лист2!$A:$A,$A92,Лист2!$B:$B,$B92)</f>
        <v>1048</v>
      </c>
      <c r="H92" s="10">
        <f t="shared" si="2"/>
        <v>94696.34210526316</v>
      </c>
      <c r="I92" s="43">
        <f t="shared" si="3"/>
        <v>18</v>
      </c>
      <c r="J92" s="30">
        <v>91</v>
      </c>
      <c r="K92" s="30" t="s">
        <v>54</v>
      </c>
    </row>
    <row r="93" spans="1:11" ht="14.25" customHeight="1" x14ac:dyDescent="0.35">
      <c r="A93" s="11">
        <v>43977</v>
      </c>
      <c r="B93" s="4" t="s">
        <v>13</v>
      </c>
      <c r="C93" s="12">
        <v>31407</v>
      </c>
      <c r="D93" s="12">
        <v>2907411</v>
      </c>
      <c r="E93" s="12">
        <f>SUMIFS(Лист2!$C:$C,Лист2!$A:$A,$A93,Лист2!$B:$B,$B93)</f>
        <v>20</v>
      </c>
      <c r="F93" s="12">
        <f>SUMIFS(Лист2!$D:$D,Лист2!$A:$A,$A93,Лист2!$B:$B,$B93)</f>
        <v>2036</v>
      </c>
      <c r="G93" s="12">
        <f>SUMIFS(Лист2!$E:$E,Лист2!$A:$A,$A93,Лист2!$B:$B,$B93)</f>
        <v>1790</v>
      </c>
      <c r="H93" s="12">
        <f t="shared" si="2"/>
        <v>145370.54999999999</v>
      </c>
      <c r="I93" s="44">
        <f t="shared" si="3"/>
        <v>22</v>
      </c>
      <c r="J93" s="31">
        <v>92</v>
      </c>
      <c r="K93" s="31" t="s">
        <v>58</v>
      </c>
    </row>
    <row r="94" spans="1:11" ht="14.25" customHeight="1" x14ac:dyDescent="0.35">
      <c r="A94" s="9">
        <v>43952</v>
      </c>
      <c r="B94" s="2" t="s">
        <v>13</v>
      </c>
      <c r="C94" s="10">
        <v>25792.5</v>
      </c>
      <c r="D94" s="10">
        <v>2374356</v>
      </c>
      <c r="E94" s="10">
        <f>SUMIFS(Лист2!$C:$C,Лист2!$A:$A,$A94,Лист2!$B:$B,$B94)</f>
        <v>19</v>
      </c>
      <c r="F94" s="10">
        <f>SUMIFS(Лист2!$D:$D,Лист2!$A:$A,$A94,Лист2!$B:$B,$B94)</f>
        <v>1497</v>
      </c>
      <c r="G94" s="10">
        <f>SUMIFS(Лист2!$E:$E,Лист2!$A:$A,$A94,Лист2!$B:$B,$B94)</f>
        <v>1291</v>
      </c>
      <c r="H94" s="10">
        <f t="shared" si="2"/>
        <v>124966.10526315789</v>
      </c>
      <c r="I94" s="43">
        <f t="shared" si="3"/>
        <v>18</v>
      </c>
      <c r="J94" s="30">
        <v>93</v>
      </c>
      <c r="K94" s="30" t="s">
        <v>54</v>
      </c>
    </row>
    <row r="95" spans="1:11" ht="14.25" customHeight="1" x14ac:dyDescent="0.35">
      <c r="A95" s="11">
        <v>43963</v>
      </c>
      <c r="B95" s="4" t="s">
        <v>13</v>
      </c>
      <c r="C95" s="12">
        <v>26032.5</v>
      </c>
      <c r="D95" s="12">
        <v>2370432</v>
      </c>
      <c r="E95" s="12">
        <f>SUMIFS(Лист2!$C:$C,Лист2!$A:$A,$A95,Лист2!$B:$B,$B95)</f>
        <v>19</v>
      </c>
      <c r="F95" s="12">
        <f>SUMIFS(Лист2!$D:$D,Лист2!$A:$A,$A95,Лист2!$B:$B,$B95)</f>
        <v>1649</v>
      </c>
      <c r="G95" s="12">
        <f>SUMIFS(Лист2!$E:$E,Лист2!$A:$A,$A95,Лист2!$B:$B,$B95)</f>
        <v>1460</v>
      </c>
      <c r="H95" s="12">
        <f t="shared" si="2"/>
        <v>124759.57894736843</v>
      </c>
      <c r="I95" s="44">
        <f t="shared" si="3"/>
        <v>20</v>
      </c>
      <c r="J95" s="31">
        <v>94</v>
      </c>
      <c r="K95" s="31" t="s">
        <v>56</v>
      </c>
    </row>
    <row r="96" spans="1:11" ht="14.25" customHeight="1" x14ac:dyDescent="0.35">
      <c r="A96" s="9">
        <v>43972</v>
      </c>
      <c r="B96" s="2" t="s">
        <v>13</v>
      </c>
      <c r="C96" s="10">
        <v>31707</v>
      </c>
      <c r="D96" s="10">
        <v>2853181.5</v>
      </c>
      <c r="E96" s="10">
        <f>SUMIFS(Лист2!$C:$C,Лист2!$A:$A,$A96,Лист2!$B:$B,$B96)</f>
        <v>19</v>
      </c>
      <c r="F96" s="10">
        <f>SUMIFS(Лист2!$D:$D,Лист2!$A:$A,$A96,Лист2!$B:$B,$B96)</f>
        <v>1949</v>
      </c>
      <c r="G96" s="10">
        <f>SUMIFS(Лист2!$E:$E,Лист2!$A:$A,$A96,Лист2!$B:$B,$B96)</f>
        <v>1724</v>
      </c>
      <c r="H96" s="10">
        <f t="shared" si="2"/>
        <v>150167.44736842104</v>
      </c>
      <c r="I96" s="43">
        <f t="shared" si="3"/>
        <v>21</v>
      </c>
      <c r="J96" s="30">
        <v>95</v>
      </c>
      <c r="K96" s="30" t="s">
        <v>57</v>
      </c>
    </row>
    <row r="97" spans="1:11" ht="14.25" customHeight="1" x14ac:dyDescent="0.35">
      <c r="A97" s="11">
        <v>43971</v>
      </c>
      <c r="B97" s="4" t="s">
        <v>13</v>
      </c>
      <c r="C97" s="12">
        <v>29955</v>
      </c>
      <c r="D97" s="12">
        <v>2692230</v>
      </c>
      <c r="E97" s="12">
        <f>SUMIFS(Лист2!$C:$C,Лист2!$A:$A,$A97,Лист2!$B:$B,$B97)</f>
        <v>19</v>
      </c>
      <c r="F97" s="12">
        <f>SUMIFS(Лист2!$D:$D,Лист2!$A:$A,$A97,Лист2!$B:$B,$B97)</f>
        <v>1889</v>
      </c>
      <c r="G97" s="12">
        <f>SUMIFS(Лист2!$E:$E,Лист2!$A:$A,$A97,Лист2!$B:$B,$B97)</f>
        <v>1690</v>
      </c>
      <c r="H97" s="12">
        <f t="shared" si="2"/>
        <v>141696.31578947368</v>
      </c>
      <c r="I97" s="44">
        <f t="shared" si="3"/>
        <v>21</v>
      </c>
      <c r="J97" s="31">
        <v>96</v>
      </c>
      <c r="K97" s="31" t="s">
        <v>57</v>
      </c>
    </row>
    <row r="98" spans="1:11" ht="14.25" customHeight="1" x14ac:dyDescent="0.35">
      <c r="A98" s="9">
        <v>43956</v>
      </c>
      <c r="B98" s="2" t="s">
        <v>13</v>
      </c>
      <c r="C98" s="10">
        <v>22848</v>
      </c>
      <c r="D98" s="10">
        <v>2079900</v>
      </c>
      <c r="E98" s="10">
        <f>SUMIFS(Лист2!$C:$C,Лист2!$A:$A,$A98,Лист2!$B:$B,$B98)</f>
        <v>19</v>
      </c>
      <c r="F98" s="10">
        <f>SUMIFS(Лист2!$D:$D,Лист2!$A:$A,$A98,Лист2!$B:$B,$B98)</f>
        <v>1417</v>
      </c>
      <c r="G98" s="10">
        <f>SUMIFS(Лист2!$E:$E,Лист2!$A:$A,$A98,Лист2!$B:$B,$B98)</f>
        <v>1245</v>
      </c>
      <c r="H98" s="10">
        <f t="shared" si="2"/>
        <v>109468.42105263157</v>
      </c>
      <c r="I98" s="43">
        <f t="shared" si="3"/>
        <v>19</v>
      </c>
      <c r="J98" s="30">
        <v>97</v>
      </c>
      <c r="K98" s="30" t="s">
        <v>55</v>
      </c>
    </row>
    <row r="99" spans="1:11" ht="14.25" customHeight="1" x14ac:dyDescent="0.35">
      <c r="A99" s="11">
        <v>43949</v>
      </c>
      <c r="B99" s="4" t="s">
        <v>13</v>
      </c>
      <c r="C99" s="12">
        <v>23314.5</v>
      </c>
      <c r="D99" s="12">
        <v>2136817.5</v>
      </c>
      <c r="E99" s="12">
        <f>SUMIFS(Лист2!$C:$C,Лист2!$A:$A,$A99,Лист2!$B:$B,$B99)</f>
        <v>17</v>
      </c>
      <c r="F99" s="12">
        <f>SUMIFS(Лист2!$D:$D,Лист2!$A:$A,$A99,Лист2!$B:$B,$B99)</f>
        <v>1439</v>
      </c>
      <c r="G99" s="12">
        <f>SUMIFS(Лист2!$E:$E,Лист2!$A:$A,$A99,Лист2!$B:$B,$B99)</f>
        <v>1265</v>
      </c>
      <c r="H99" s="12">
        <f t="shared" si="2"/>
        <v>125695.14705882352</v>
      </c>
      <c r="I99" s="44">
        <f t="shared" si="3"/>
        <v>18</v>
      </c>
      <c r="J99" s="31">
        <v>98</v>
      </c>
      <c r="K99" s="31" t="s">
        <v>54</v>
      </c>
    </row>
    <row r="100" spans="1:11" ht="14.25" customHeight="1" x14ac:dyDescent="0.35">
      <c r="A100" s="9">
        <v>43964</v>
      </c>
      <c r="B100" s="2" t="s">
        <v>13</v>
      </c>
      <c r="C100" s="10">
        <v>26464.5</v>
      </c>
      <c r="D100" s="10">
        <v>2373337.5</v>
      </c>
      <c r="E100" s="10">
        <f>SUMIFS(Лист2!$C:$C,Лист2!$A:$A,$A100,Лист2!$B:$B,$B100)</f>
        <v>19</v>
      </c>
      <c r="F100" s="10">
        <f>SUMIFS(Лист2!$D:$D,Лист2!$A:$A,$A100,Лист2!$B:$B,$B100)</f>
        <v>1625</v>
      </c>
      <c r="G100" s="10">
        <f>SUMIFS(Лист2!$E:$E,Лист2!$A:$A,$A100,Лист2!$B:$B,$B100)</f>
        <v>1444</v>
      </c>
      <c r="H100" s="10">
        <f t="shared" si="2"/>
        <v>124912.5</v>
      </c>
      <c r="I100" s="43">
        <f t="shared" si="3"/>
        <v>20</v>
      </c>
      <c r="J100" s="30">
        <v>99</v>
      </c>
      <c r="K100" s="30" t="s">
        <v>56</v>
      </c>
    </row>
    <row r="101" spans="1:11" ht="14.25" customHeight="1" x14ac:dyDescent="0.35">
      <c r="A101" s="11">
        <v>43954</v>
      </c>
      <c r="B101" s="4" t="s">
        <v>13</v>
      </c>
      <c r="C101" s="12">
        <v>23539.5</v>
      </c>
      <c r="D101" s="12">
        <v>2170309.5</v>
      </c>
      <c r="E101" s="12">
        <f>SUMIFS(Лист2!$C:$C,Лист2!$A:$A,$A101,Лист2!$B:$B,$B101)</f>
        <v>19</v>
      </c>
      <c r="F101" s="12">
        <f>SUMIFS(Лист2!$D:$D,Лист2!$A:$A,$A101,Лист2!$B:$B,$B101)</f>
        <v>1402</v>
      </c>
      <c r="G101" s="12">
        <f>SUMIFS(Лист2!$E:$E,Лист2!$A:$A,$A101,Лист2!$B:$B,$B101)</f>
        <v>1234</v>
      </c>
      <c r="H101" s="12">
        <f t="shared" si="2"/>
        <v>114226.81578947368</v>
      </c>
      <c r="I101" s="44">
        <f t="shared" si="3"/>
        <v>18</v>
      </c>
      <c r="J101" s="31">
        <v>100</v>
      </c>
      <c r="K101" s="31" t="s">
        <v>54</v>
      </c>
    </row>
    <row r="102" spans="1:11" ht="14.25" customHeight="1" x14ac:dyDescent="0.35">
      <c r="A102" s="9">
        <v>43957</v>
      </c>
      <c r="B102" s="2" t="s">
        <v>13</v>
      </c>
      <c r="C102" s="10">
        <v>24678</v>
      </c>
      <c r="D102" s="10">
        <v>2232519</v>
      </c>
      <c r="E102" s="10">
        <f>SUMIFS(Лист2!$C:$C,Лист2!$A:$A,$A102,Лист2!$B:$B,$B102)</f>
        <v>19</v>
      </c>
      <c r="F102" s="10">
        <f>SUMIFS(Лист2!$D:$D,Лист2!$A:$A,$A102,Лист2!$B:$B,$B102)</f>
        <v>1499</v>
      </c>
      <c r="G102" s="10">
        <f>SUMIFS(Лист2!$E:$E,Лист2!$A:$A,$A102,Лист2!$B:$B,$B102)</f>
        <v>1323</v>
      </c>
      <c r="H102" s="10">
        <f t="shared" si="2"/>
        <v>117501</v>
      </c>
      <c r="I102" s="43">
        <f t="shared" si="3"/>
        <v>19</v>
      </c>
      <c r="J102" s="30">
        <v>101</v>
      </c>
      <c r="K102" s="30" t="s">
        <v>55</v>
      </c>
    </row>
    <row r="103" spans="1:11" ht="14.25" customHeight="1" x14ac:dyDescent="0.35">
      <c r="A103" s="11">
        <v>43974</v>
      </c>
      <c r="B103" s="4" t="s">
        <v>13</v>
      </c>
      <c r="C103" s="12">
        <v>38176.5</v>
      </c>
      <c r="D103" s="12">
        <v>3385372.5</v>
      </c>
      <c r="E103" s="12">
        <f>SUMIFS(Лист2!$C:$C,Лист2!$A:$A,$A103,Лист2!$B:$B,$B103)</f>
        <v>20</v>
      </c>
      <c r="F103" s="12">
        <f>SUMIFS(Лист2!$D:$D,Лист2!$A:$A,$A103,Лист2!$B:$B,$B103)</f>
        <v>2266</v>
      </c>
      <c r="G103" s="12">
        <f>SUMIFS(Лист2!$E:$E,Лист2!$A:$A,$A103,Лист2!$B:$B,$B103)</f>
        <v>1993</v>
      </c>
      <c r="H103" s="12">
        <f t="shared" si="2"/>
        <v>169268.625</v>
      </c>
      <c r="I103" s="44">
        <f t="shared" si="3"/>
        <v>21</v>
      </c>
      <c r="J103" s="31">
        <v>102</v>
      </c>
      <c r="K103" s="31" t="s">
        <v>57</v>
      </c>
    </row>
    <row r="104" spans="1:11" ht="14.25" customHeight="1" x14ac:dyDescent="0.35">
      <c r="A104" s="9">
        <v>43976</v>
      </c>
      <c r="B104" s="2" t="s">
        <v>13</v>
      </c>
      <c r="C104" s="10">
        <v>30603</v>
      </c>
      <c r="D104" s="10">
        <v>2865727.5</v>
      </c>
      <c r="E104" s="10">
        <f>SUMIFS(Лист2!$C:$C,Лист2!$A:$A,$A104,Лист2!$B:$B,$B104)</f>
        <v>20</v>
      </c>
      <c r="F104" s="10">
        <f>SUMIFS(Лист2!$D:$D,Лист2!$A:$A,$A104,Лист2!$B:$B,$B104)</f>
        <v>2011</v>
      </c>
      <c r="G104" s="10">
        <f>SUMIFS(Лист2!$E:$E,Лист2!$A:$A,$A104,Лист2!$B:$B,$B104)</f>
        <v>1791</v>
      </c>
      <c r="H104" s="10">
        <f t="shared" si="2"/>
        <v>143286.375</v>
      </c>
      <c r="I104" s="43">
        <f t="shared" si="3"/>
        <v>22</v>
      </c>
      <c r="J104" s="30">
        <v>103</v>
      </c>
      <c r="K104" s="30" t="s">
        <v>58</v>
      </c>
    </row>
    <row r="105" spans="1:11" ht="14.25" customHeight="1" x14ac:dyDescent="0.35">
      <c r="A105" s="11">
        <v>43951</v>
      </c>
      <c r="B105" s="4" t="s">
        <v>13</v>
      </c>
      <c r="C105" s="12">
        <v>24211.5</v>
      </c>
      <c r="D105" s="12">
        <v>2267664</v>
      </c>
      <c r="E105" s="12">
        <f>SUMIFS(Лист2!$C:$C,Лист2!$A:$A,$A105,Лист2!$B:$B,$B105)</f>
        <v>19</v>
      </c>
      <c r="F105" s="12">
        <f>SUMIFS(Лист2!$D:$D,Лист2!$A:$A,$A105,Лист2!$B:$B,$B105)</f>
        <v>1499</v>
      </c>
      <c r="G105" s="12">
        <f>SUMIFS(Лист2!$E:$E,Лист2!$A:$A,$A105,Лист2!$B:$B,$B105)</f>
        <v>1322</v>
      </c>
      <c r="H105" s="12">
        <f t="shared" si="2"/>
        <v>119350.73684210527</v>
      </c>
      <c r="I105" s="44">
        <f t="shared" si="3"/>
        <v>18</v>
      </c>
      <c r="J105" s="31">
        <v>104</v>
      </c>
      <c r="K105" s="31" t="s">
        <v>54</v>
      </c>
    </row>
    <row r="106" spans="1:11" ht="14.25" customHeight="1" x14ac:dyDescent="0.35">
      <c r="A106" s="9">
        <v>43961</v>
      </c>
      <c r="B106" s="2" t="s">
        <v>13</v>
      </c>
      <c r="C106" s="10">
        <v>31399.5</v>
      </c>
      <c r="D106" s="10">
        <v>2862298.5</v>
      </c>
      <c r="E106" s="10">
        <f>SUMIFS(Лист2!$C:$C,Лист2!$A:$A,$A106,Лист2!$B:$B,$B106)</f>
        <v>19</v>
      </c>
      <c r="F106" s="10">
        <f>SUMIFS(Лист2!$D:$D,Лист2!$A:$A,$A106,Лист2!$B:$B,$B106)</f>
        <v>1848</v>
      </c>
      <c r="G106" s="10">
        <f>SUMIFS(Лист2!$E:$E,Лист2!$A:$A,$A106,Лист2!$B:$B,$B106)</f>
        <v>1649</v>
      </c>
      <c r="H106" s="10">
        <f t="shared" si="2"/>
        <v>150647.28947368421</v>
      </c>
      <c r="I106" s="43">
        <f t="shared" si="3"/>
        <v>19</v>
      </c>
      <c r="J106" s="30">
        <v>105</v>
      </c>
      <c r="K106" s="30" t="s">
        <v>55</v>
      </c>
    </row>
    <row r="107" spans="1:11" ht="14.25" customHeight="1" x14ac:dyDescent="0.35">
      <c r="A107" s="11">
        <v>43959</v>
      </c>
      <c r="B107" s="4" t="s">
        <v>13</v>
      </c>
      <c r="C107" s="12">
        <v>25294.5</v>
      </c>
      <c r="D107" s="12">
        <v>2271454.5</v>
      </c>
      <c r="E107" s="12">
        <f>SUMIFS(Лист2!$C:$C,Лист2!$A:$A,$A107,Лист2!$B:$B,$B107)</f>
        <v>19</v>
      </c>
      <c r="F107" s="12">
        <f>SUMIFS(Лист2!$D:$D,Лист2!$A:$A,$A107,Лист2!$B:$B,$B107)</f>
        <v>1522</v>
      </c>
      <c r="G107" s="12">
        <f>SUMIFS(Лист2!$E:$E,Лист2!$A:$A,$A107,Лист2!$B:$B,$B107)</f>
        <v>1340</v>
      </c>
      <c r="H107" s="12">
        <f t="shared" si="2"/>
        <v>119550.23684210527</v>
      </c>
      <c r="I107" s="44">
        <f t="shared" si="3"/>
        <v>19</v>
      </c>
      <c r="J107" s="31">
        <v>106</v>
      </c>
      <c r="K107" s="31" t="s">
        <v>55</v>
      </c>
    </row>
    <row r="108" spans="1:11" ht="14.25" customHeight="1" x14ac:dyDescent="0.35">
      <c r="A108" s="9">
        <v>43958</v>
      </c>
      <c r="B108" s="2" t="s">
        <v>13</v>
      </c>
      <c r="C108" s="10">
        <v>25468.5</v>
      </c>
      <c r="D108" s="10">
        <v>2350672.5</v>
      </c>
      <c r="E108" s="10">
        <f>SUMIFS(Лист2!$C:$C,Лист2!$A:$A,$A108,Лист2!$B:$B,$B108)</f>
        <v>19</v>
      </c>
      <c r="F108" s="10">
        <f>SUMIFS(Лист2!$D:$D,Лист2!$A:$A,$A108,Лист2!$B:$B,$B108)</f>
        <v>1530</v>
      </c>
      <c r="G108" s="10">
        <f>SUMIFS(Лист2!$E:$E,Лист2!$A:$A,$A108,Лист2!$B:$B,$B108)</f>
        <v>1338</v>
      </c>
      <c r="H108" s="10">
        <f t="shared" si="2"/>
        <v>123719.60526315789</v>
      </c>
      <c r="I108" s="43">
        <f t="shared" si="3"/>
        <v>19</v>
      </c>
      <c r="J108" s="30">
        <v>107</v>
      </c>
      <c r="K108" s="30" t="s">
        <v>55</v>
      </c>
    </row>
    <row r="109" spans="1:11" ht="14.25" customHeight="1" x14ac:dyDescent="0.35">
      <c r="A109" s="11">
        <v>43975</v>
      </c>
      <c r="B109" s="4" t="s">
        <v>13</v>
      </c>
      <c r="C109" s="12">
        <v>31854</v>
      </c>
      <c r="D109" s="12">
        <v>2915533.5</v>
      </c>
      <c r="E109" s="12">
        <f>SUMIFS(Лист2!$C:$C,Лист2!$A:$A,$A109,Лист2!$B:$B,$B109)</f>
        <v>20</v>
      </c>
      <c r="F109" s="12">
        <f>SUMIFS(Лист2!$D:$D,Лист2!$A:$A,$A109,Лист2!$B:$B,$B109)</f>
        <v>2015</v>
      </c>
      <c r="G109" s="12">
        <f>SUMIFS(Лист2!$E:$E,Лист2!$A:$A,$A109,Лист2!$B:$B,$B109)</f>
        <v>1803</v>
      </c>
      <c r="H109" s="12">
        <f t="shared" si="2"/>
        <v>145776.67499999999</v>
      </c>
      <c r="I109" s="44">
        <f t="shared" si="3"/>
        <v>21</v>
      </c>
      <c r="J109" s="31">
        <v>108</v>
      </c>
      <c r="K109" s="31" t="s">
        <v>57</v>
      </c>
    </row>
    <row r="110" spans="1:11" ht="14.25" customHeight="1" x14ac:dyDescent="0.35">
      <c r="A110" s="9">
        <v>43982</v>
      </c>
      <c r="B110" s="2" t="s">
        <v>13</v>
      </c>
      <c r="C110" s="10">
        <v>32359.5</v>
      </c>
      <c r="D110" s="10">
        <v>2991999</v>
      </c>
      <c r="E110" s="10">
        <f>SUMIFS(Лист2!$C:$C,Лист2!$A:$A,$A110,Лист2!$B:$B,$B110)</f>
        <v>20</v>
      </c>
      <c r="F110" s="10">
        <f>SUMIFS(Лист2!$D:$D,Лист2!$A:$A,$A110,Лист2!$B:$B,$B110)</f>
        <v>2060</v>
      </c>
      <c r="G110" s="10">
        <f>SUMIFS(Лист2!$E:$E,Лист2!$A:$A,$A110,Лист2!$B:$B,$B110)</f>
        <v>1826</v>
      </c>
      <c r="H110" s="10">
        <f t="shared" si="2"/>
        <v>149599.95000000001</v>
      </c>
      <c r="I110" s="43">
        <f t="shared" si="3"/>
        <v>22</v>
      </c>
      <c r="J110" s="30">
        <v>109</v>
      </c>
      <c r="K110" s="30" t="s">
        <v>58</v>
      </c>
    </row>
    <row r="111" spans="1:11" ht="14.25" customHeight="1" x14ac:dyDescent="0.35">
      <c r="A111" s="11">
        <v>43981</v>
      </c>
      <c r="B111" s="4" t="s">
        <v>13</v>
      </c>
      <c r="C111" s="12">
        <v>39867</v>
      </c>
      <c r="D111" s="12">
        <v>3654166.5</v>
      </c>
      <c r="E111" s="12">
        <f>SUMIFS(Лист2!$C:$C,Лист2!$A:$A,$A111,Лист2!$B:$B,$B111)</f>
        <v>20</v>
      </c>
      <c r="F111" s="12">
        <f>SUMIFS(Лист2!$D:$D,Лист2!$A:$A,$A111,Лист2!$B:$B,$B111)</f>
        <v>2451</v>
      </c>
      <c r="G111" s="12">
        <f>SUMIFS(Лист2!$E:$E,Лист2!$A:$A,$A111,Лист2!$B:$B,$B111)</f>
        <v>2178</v>
      </c>
      <c r="H111" s="12">
        <f t="shared" si="2"/>
        <v>182708.32500000001</v>
      </c>
      <c r="I111" s="44">
        <f t="shared" si="3"/>
        <v>22</v>
      </c>
      <c r="J111" s="31">
        <v>110</v>
      </c>
      <c r="K111" s="31" t="s">
        <v>58</v>
      </c>
    </row>
    <row r="112" spans="1:11" ht="14.25" customHeight="1" x14ac:dyDescent="0.35">
      <c r="A112" s="9">
        <v>43979</v>
      </c>
      <c r="B112" s="2" t="s">
        <v>13</v>
      </c>
      <c r="C112" s="10">
        <v>31974</v>
      </c>
      <c r="D112" s="10">
        <v>3004213.5</v>
      </c>
      <c r="E112" s="10">
        <f>SUMIFS(Лист2!$C:$C,Лист2!$A:$A,$A112,Лист2!$B:$B,$B112)</f>
        <v>20</v>
      </c>
      <c r="F112" s="10">
        <f>SUMIFS(Лист2!$D:$D,Лист2!$A:$A,$A112,Лист2!$B:$B,$B112)</f>
        <v>2088</v>
      </c>
      <c r="G112" s="10">
        <f>SUMIFS(Лист2!$E:$E,Лист2!$A:$A,$A112,Лист2!$B:$B,$B112)</f>
        <v>1848</v>
      </c>
      <c r="H112" s="10">
        <f t="shared" si="2"/>
        <v>150210.67499999999</v>
      </c>
      <c r="I112" s="43">
        <f t="shared" si="3"/>
        <v>22</v>
      </c>
      <c r="J112" s="30">
        <v>111</v>
      </c>
      <c r="K112" s="30" t="s">
        <v>58</v>
      </c>
    </row>
    <row r="113" spans="1:11" ht="14.25" customHeight="1" x14ac:dyDescent="0.35">
      <c r="A113" s="11">
        <v>43967</v>
      </c>
      <c r="B113" s="4" t="s">
        <v>14</v>
      </c>
      <c r="C113" s="12">
        <v>321412.5</v>
      </c>
      <c r="D113" s="12">
        <v>32235864</v>
      </c>
      <c r="E113" s="12">
        <f>SUMIFS(Лист2!$C:$C,Лист2!$A:$A,$A113,Лист2!$B:$B,$B113)</f>
        <v>129</v>
      </c>
      <c r="F113" s="12">
        <f>SUMIFS(Лист2!$D:$D,Лист2!$A:$A,$A113,Лист2!$B:$B,$B113)</f>
        <v>17914</v>
      </c>
      <c r="G113" s="12">
        <f>SUMIFS(Лист2!$E:$E,Лист2!$A:$A,$A113,Лист2!$B:$B,$B113)</f>
        <v>16631</v>
      </c>
      <c r="H113" s="12">
        <f t="shared" si="2"/>
        <v>249890.41860465117</v>
      </c>
      <c r="I113" s="44">
        <f t="shared" si="3"/>
        <v>20</v>
      </c>
      <c r="J113" s="31">
        <v>112</v>
      </c>
      <c r="K113" s="31" t="s">
        <v>56</v>
      </c>
    </row>
    <row r="114" spans="1:11" ht="14.25" customHeight="1" x14ac:dyDescent="0.35">
      <c r="A114" s="9">
        <v>43970</v>
      </c>
      <c r="B114" s="2" t="s">
        <v>14</v>
      </c>
      <c r="C114" s="10">
        <v>276568.5</v>
      </c>
      <c r="D114" s="10">
        <v>27093624</v>
      </c>
      <c r="E114" s="10">
        <f>SUMIFS(Лист2!$C:$C,Лист2!$A:$A,$A114,Лист2!$B:$B,$B114)</f>
        <v>129</v>
      </c>
      <c r="F114" s="10">
        <f>SUMIFS(Лист2!$D:$D,Лист2!$A:$A,$A114,Лист2!$B:$B,$B114)</f>
        <v>16191</v>
      </c>
      <c r="G114" s="10">
        <f>SUMIFS(Лист2!$E:$E,Лист2!$A:$A,$A114,Лист2!$B:$B,$B114)</f>
        <v>15102</v>
      </c>
      <c r="H114" s="10">
        <f t="shared" si="2"/>
        <v>210028.09302325582</v>
      </c>
      <c r="I114" s="43">
        <f t="shared" si="3"/>
        <v>21</v>
      </c>
      <c r="J114" s="30">
        <v>113</v>
      </c>
      <c r="K114" s="30" t="s">
        <v>57</v>
      </c>
    </row>
    <row r="115" spans="1:11" ht="14.25" customHeight="1" x14ac:dyDescent="0.35">
      <c r="A115" s="11">
        <v>43968</v>
      </c>
      <c r="B115" s="4" t="s">
        <v>14</v>
      </c>
      <c r="C115" s="12">
        <v>269029.5</v>
      </c>
      <c r="D115" s="12">
        <v>26659930.5</v>
      </c>
      <c r="E115" s="12">
        <f>SUMIFS(Лист2!$C:$C,Лист2!$A:$A,$A115,Лист2!$B:$B,$B115)</f>
        <v>129</v>
      </c>
      <c r="F115" s="12">
        <f>SUMIFS(Лист2!$D:$D,Лист2!$A:$A,$A115,Лист2!$B:$B,$B115)</f>
        <v>15744</v>
      </c>
      <c r="G115" s="12">
        <f>SUMIFS(Лист2!$E:$E,Лист2!$A:$A,$A115,Лист2!$B:$B,$B115)</f>
        <v>14685</v>
      </c>
      <c r="H115" s="12">
        <f t="shared" si="2"/>
        <v>206666.12790697673</v>
      </c>
      <c r="I115" s="44">
        <f t="shared" si="3"/>
        <v>20</v>
      </c>
      <c r="J115" s="31">
        <v>114</v>
      </c>
      <c r="K115" s="31" t="s">
        <v>56</v>
      </c>
    </row>
    <row r="116" spans="1:11" ht="14.25" customHeight="1" x14ac:dyDescent="0.35">
      <c r="A116" s="9">
        <v>43960</v>
      </c>
      <c r="B116" s="2" t="s">
        <v>14</v>
      </c>
      <c r="C116" s="10">
        <v>285972</v>
      </c>
      <c r="D116" s="10">
        <v>29768199</v>
      </c>
      <c r="E116" s="10">
        <f>SUMIFS(Лист2!$C:$C,Лист2!$A:$A,$A116,Лист2!$B:$B,$B116)</f>
        <v>129</v>
      </c>
      <c r="F116" s="10">
        <f>SUMIFS(Лист2!$D:$D,Лист2!$A:$A,$A116,Лист2!$B:$B,$B116)</f>
        <v>16420</v>
      </c>
      <c r="G116" s="10">
        <f>SUMIFS(Лист2!$E:$E,Лист2!$A:$A,$A116,Лист2!$B:$B,$B116)</f>
        <v>15169</v>
      </c>
      <c r="H116" s="10">
        <f t="shared" si="2"/>
        <v>230761.23255813954</v>
      </c>
      <c r="I116" s="43">
        <f t="shared" si="3"/>
        <v>19</v>
      </c>
      <c r="J116" s="30">
        <v>115</v>
      </c>
      <c r="K116" s="30" t="s">
        <v>55</v>
      </c>
    </row>
    <row r="117" spans="1:11" ht="14.25" customHeight="1" x14ac:dyDescent="0.35">
      <c r="A117" s="11">
        <v>43955</v>
      </c>
      <c r="B117" s="4" t="s">
        <v>14</v>
      </c>
      <c r="C117" s="12">
        <v>283942.5</v>
      </c>
      <c r="D117" s="12">
        <v>29357940</v>
      </c>
      <c r="E117" s="12">
        <f>SUMIFS(Лист2!$C:$C,Лист2!$A:$A,$A117,Лист2!$B:$B,$B117)</f>
        <v>129</v>
      </c>
      <c r="F117" s="12">
        <f>SUMIFS(Лист2!$D:$D,Лист2!$A:$A,$A117,Лист2!$B:$B,$B117)</f>
        <v>16525</v>
      </c>
      <c r="G117" s="12">
        <f>SUMIFS(Лист2!$E:$E,Лист2!$A:$A,$A117,Лист2!$B:$B,$B117)</f>
        <v>15310</v>
      </c>
      <c r="H117" s="12">
        <f t="shared" si="2"/>
        <v>227580.93023255814</v>
      </c>
      <c r="I117" s="44">
        <f t="shared" si="3"/>
        <v>19</v>
      </c>
      <c r="J117" s="31">
        <v>116</v>
      </c>
      <c r="K117" s="31" t="s">
        <v>55</v>
      </c>
    </row>
    <row r="118" spans="1:11" ht="14.25" customHeight="1" x14ac:dyDescent="0.35">
      <c r="A118" s="9">
        <v>43950</v>
      </c>
      <c r="B118" s="2" t="s">
        <v>14</v>
      </c>
      <c r="C118" s="10">
        <v>298059</v>
      </c>
      <c r="D118" s="10">
        <v>30869287.5</v>
      </c>
      <c r="E118" s="10">
        <f>SUMIFS(Лист2!$C:$C,Лист2!$A:$A,$A118,Лист2!$B:$B,$B118)</f>
        <v>128</v>
      </c>
      <c r="F118" s="10">
        <f>SUMIFS(Лист2!$D:$D,Лист2!$A:$A,$A118,Лист2!$B:$B,$B118)</f>
        <v>17368</v>
      </c>
      <c r="G118" s="10">
        <f>SUMIFS(Лист2!$E:$E,Лист2!$A:$A,$A118,Лист2!$B:$B,$B118)</f>
        <v>16077</v>
      </c>
      <c r="H118" s="10">
        <f t="shared" si="2"/>
        <v>241166.30859375</v>
      </c>
      <c r="I118" s="43">
        <f t="shared" si="3"/>
        <v>18</v>
      </c>
      <c r="J118" s="30">
        <v>117</v>
      </c>
      <c r="K118" s="30" t="s">
        <v>54</v>
      </c>
    </row>
    <row r="119" spans="1:11" ht="14.25" customHeight="1" x14ac:dyDescent="0.35">
      <c r="A119" s="11">
        <v>43953</v>
      </c>
      <c r="B119" s="4" t="s">
        <v>14</v>
      </c>
      <c r="C119" s="12">
        <v>232903.5</v>
      </c>
      <c r="D119" s="12">
        <v>24342016.5</v>
      </c>
      <c r="E119" s="12">
        <f>SUMIFS(Лист2!$C:$C,Лист2!$A:$A,$A119,Лист2!$B:$B,$B119)</f>
        <v>129</v>
      </c>
      <c r="F119" s="12">
        <f>SUMIFS(Лист2!$D:$D,Лист2!$A:$A,$A119,Лист2!$B:$B,$B119)</f>
        <v>14009</v>
      </c>
      <c r="G119" s="12">
        <f>SUMIFS(Лист2!$E:$E,Лист2!$A:$A,$A119,Лист2!$B:$B,$B119)</f>
        <v>12920</v>
      </c>
      <c r="H119" s="12">
        <f t="shared" si="2"/>
        <v>188697.8023255814</v>
      </c>
      <c r="I119" s="44">
        <f t="shared" si="3"/>
        <v>18</v>
      </c>
      <c r="J119" s="31">
        <v>118</v>
      </c>
      <c r="K119" s="31" t="s">
        <v>54</v>
      </c>
    </row>
    <row r="120" spans="1:11" ht="14.25" customHeight="1" x14ac:dyDescent="0.35">
      <c r="A120" s="9">
        <v>43977</v>
      </c>
      <c r="B120" s="2" t="s">
        <v>14</v>
      </c>
      <c r="C120" s="10">
        <v>276966</v>
      </c>
      <c r="D120" s="10">
        <v>27872617.898850001</v>
      </c>
      <c r="E120" s="10">
        <f>SUMIFS(Лист2!$C:$C,Лист2!$A:$A,$A120,Лист2!$B:$B,$B120)</f>
        <v>129</v>
      </c>
      <c r="F120" s="10">
        <f>SUMIFS(Лист2!$D:$D,Лист2!$A:$A,$A120,Лист2!$B:$B,$B120)</f>
        <v>16459</v>
      </c>
      <c r="G120" s="10">
        <f>SUMIFS(Лист2!$E:$E,Лист2!$A:$A,$A120,Лист2!$B:$B,$B120)</f>
        <v>15355</v>
      </c>
      <c r="H120" s="10">
        <f t="shared" si="2"/>
        <v>216066.80541744188</v>
      </c>
      <c r="I120" s="43">
        <f t="shared" si="3"/>
        <v>22</v>
      </c>
      <c r="J120" s="30">
        <v>119</v>
      </c>
      <c r="K120" s="30" t="s">
        <v>58</v>
      </c>
    </row>
    <row r="121" spans="1:11" ht="14.25" customHeight="1" x14ac:dyDescent="0.35">
      <c r="A121" s="11">
        <v>43952</v>
      </c>
      <c r="B121" s="4" t="s">
        <v>14</v>
      </c>
      <c r="C121" s="12">
        <v>296149.5</v>
      </c>
      <c r="D121" s="12">
        <v>31053316.5</v>
      </c>
      <c r="E121" s="12">
        <f>SUMIFS(Лист2!$C:$C,Лист2!$A:$A,$A121,Лист2!$B:$B,$B121)</f>
        <v>129</v>
      </c>
      <c r="F121" s="12">
        <f>SUMIFS(Лист2!$D:$D,Лист2!$A:$A,$A121,Лист2!$B:$B,$B121)</f>
        <v>17002</v>
      </c>
      <c r="G121" s="12">
        <f>SUMIFS(Лист2!$E:$E,Лист2!$A:$A,$A121,Лист2!$B:$B,$B121)</f>
        <v>15570</v>
      </c>
      <c r="H121" s="12">
        <f t="shared" si="2"/>
        <v>240723.38372093023</v>
      </c>
      <c r="I121" s="44">
        <f t="shared" si="3"/>
        <v>18</v>
      </c>
      <c r="J121" s="31">
        <v>120</v>
      </c>
      <c r="K121" s="31" t="s">
        <v>54</v>
      </c>
    </row>
    <row r="122" spans="1:11" ht="14.25" customHeight="1" x14ac:dyDescent="0.35">
      <c r="A122" s="9">
        <v>43963</v>
      </c>
      <c r="B122" s="2" t="s">
        <v>14</v>
      </c>
      <c r="C122" s="10">
        <v>281796</v>
      </c>
      <c r="D122" s="10">
        <v>29042520</v>
      </c>
      <c r="E122" s="10">
        <f>SUMIFS(Лист2!$C:$C,Лист2!$A:$A,$A122,Лист2!$B:$B,$B122)</f>
        <v>129</v>
      </c>
      <c r="F122" s="10">
        <f>SUMIFS(Лист2!$D:$D,Лист2!$A:$A,$A122,Лист2!$B:$B,$B122)</f>
        <v>16387</v>
      </c>
      <c r="G122" s="10">
        <f>SUMIFS(Лист2!$E:$E,Лист2!$A:$A,$A122,Лист2!$B:$B,$B122)</f>
        <v>15322</v>
      </c>
      <c r="H122" s="10">
        <f t="shared" si="2"/>
        <v>225135.81395348837</v>
      </c>
      <c r="I122" s="43">
        <f t="shared" si="3"/>
        <v>20</v>
      </c>
      <c r="J122" s="30">
        <v>121</v>
      </c>
      <c r="K122" s="30" t="s">
        <v>56</v>
      </c>
    </row>
    <row r="123" spans="1:11" ht="14.25" customHeight="1" x14ac:dyDescent="0.35">
      <c r="A123" s="11">
        <v>43972</v>
      </c>
      <c r="B123" s="4" t="s">
        <v>14</v>
      </c>
      <c r="C123" s="12">
        <v>288936</v>
      </c>
      <c r="D123" s="12">
        <v>27852900</v>
      </c>
      <c r="E123" s="12">
        <f>SUMIFS(Лист2!$C:$C,Лист2!$A:$A,$A123,Лист2!$B:$B,$B123)</f>
        <v>129</v>
      </c>
      <c r="F123" s="12">
        <f>SUMIFS(Лист2!$D:$D,Лист2!$A:$A,$A123,Лист2!$B:$B,$B123)</f>
        <v>16373</v>
      </c>
      <c r="G123" s="12">
        <f>SUMIFS(Лист2!$E:$E,Лист2!$A:$A,$A123,Лист2!$B:$B,$B123)</f>
        <v>15223</v>
      </c>
      <c r="H123" s="12">
        <f t="shared" si="2"/>
        <v>215913.95348837209</v>
      </c>
      <c r="I123" s="44">
        <f t="shared" si="3"/>
        <v>21</v>
      </c>
      <c r="J123" s="31">
        <v>122</v>
      </c>
      <c r="K123" s="31" t="s">
        <v>57</v>
      </c>
    </row>
    <row r="124" spans="1:11" ht="14.25" customHeight="1" x14ac:dyDescent="0.35">
      <c r="A124" s="9">
        <v>43971</v>
      </c>
      <c r="B124" s="2" t="s">
        <v>14</v>
      </c>
      <c r="C124" s="10">
        <v>300151.5</v>
      </c>
      <c r="D124" s="10">
        <v>29368771.617449999</v>
      </c>
      <c r="E124" s="10">
        <f>SUMIFS(Лист2!$C:$C,Лист2!$A:$A,$A124,Лист2!$B:$B,$B124)</f>
        <v>129</v>
      </c>
      <c r="F124" s="10">
        <f>SUMIFS(Лист2!$D:$D,Лист2!$A:$A,$A124,Лист2!$B:$B,$B124)</f>
        <v>17095</v>
      </c>
      <c r="G124" s="10">
        <f>SUMIFS(Лист2!$E:$E,Лист2!$A:$A,$A124,Лист2!$B:$B,$B124)</f>
        <v>15919</v>
      </c>
      <c r="H124" s="10">
        <f t="shared" si="2"/>
        <v>227664.8962593023</v>
      </c>
      <c r="I124" s="43">
        <f t="shared" si="3"/>
        <v>21</v>
      </c>
      <c r="J124" s="30">
        <v>123</v>
      </c>
      <c r="K124" s="30" t="s">
        <v>57</v>
      </c>
    </row>
    <row r="125" spans="1:11" ht="14.25" customHeight="1" x14ac:dyDescent="0.35">
      <c r="A125" s="11">
        <v>43956</v>
      </c>
      <c r="B125" s="4" t="s">
        <v>14</v>
      </c>
      <c r="C125" s="12">
        <v>262734</v>
      </c>
      <c r="D125" s="12">
        <v>27278441.145</v>
      </c>
      <c r="E125" s="12">
        <f>SUMIFS(Лист2!$C:$C,Лист2!$A:$A,$A125,Лист2!$B:$B,$B125)</f>
        <v>129</v>
      </c>
      <c r="F125" s="12">
        <f>SUMIFS(Лист2!$D:$D,Лист2!$A:$A,$A125,Лист2!$B:$B,$B125)</f>
        <v>15665</v>
      </c>
      <c r="G125" s="12">
        <f>SUMIFS(Лист2!$E:$E,Лист2!$A:$A,$A125,Лист2!$B:$B,$B125)</f>
        <v>14501</v>
      </c>
      <c r="H125" s="12">
        <f t="shared" si="2"/>
        <v>211460.78406976743</v>
      </c>
      <c r="I125" s="44">
        <f t="shared" si="3"/>
        <v>19</v>
      </c>
      <c r="J125" s="31">
        <v>124</v>
      </c>
      <c r="K125" s="31" t="s">
        <v>55</v>
      </c>
    </row>
    <row r="126" spans="1:11" ht="14.25" customHeight="1" x14ac:dyDescent="0.35">
      <c r="A126" s="9">
        <v>43949</v>
      </c>
      <c r="B126" s="2" t="s">
        <v>14</v>
      </c>
      <c r="C126" s="10">
        <v>286002</v>
      </c>
      <c r="D126" s="10">
        <v>29159032.5</v>
      </c>
      <c r="E126" s="10">
        <f>SUMIFS(Лист2!$C:$C,Лист2!$A:$A,$A126,Лист2!$B:$B,$B126)</f>
        <v>128</v>
      </c>
      <c r="F126" s="10">
        <f>SUMIFS(Лист2!$D:$D,Лист2!$A:$A,$A126,Лист2!$B:$B,$B126)</f>
        <v>16450</v>
      </c>
      <c r="G126" s="10">
        <f>SUMIFS(Лист2!$E:$E,Лист2!$A:$A,$A126,Лист2!$B:$B,$B126)</f>
        <v>15320</v>
      </c>
      <c r="H126" s="10">
        <f t="shared" si="2"/>
        <v>227804.94140625</v>
      </c>
      <c r="I126" s="43">
        <f t="shared" si="3"/>
        <v>18</v>
      </c>
      <c r="J126" s="30">
        <v>125</v>
      </c>
      <c r="K126" s="30" t="s">
        <v>54</v>
      </c>
    </row>
    <row r="127" spans="1:11" ht="14.25" customHeight="1" x14ac:dyDescent="0.35">
      <c r="A127" s="11">
        <v>43964</v>
      </c>
      <c r="B127" s="4" t="s">
        <v>14</v>
      </c>
      <c r="C127" s="12">
        <v>258459</v>
      </c>
      <c r="D127" s="12">
        <v>26467453.5</v>
      </c>
      <c r="E127" s="12">
        <f>SUMIFS(Лист2!$C:$C,Лист2!$A:$A,$A127,Лист2!$B:$B,$B127)</f>
        <v>129</v>
      </c>
      <c r="F127" s="12">
        <f>SUMIFS(Лист2!$D:$D,Лист2!$A:$A,$A127,Лист2!$B:$B,$B127)</f>
        <v>15304</v>
      </c>
      <c r="G127" s="12">
        <f>SUMIFS(Лист2!$E:$E,Лист2!$A:$A,$A127,Лист2!$B:$B,$B127)</f>
        <v>14315</v>
      </c>
      <c r="H127" s="12">
        <f t="shared" si="2"/>
        <v>205174.05813953487</v>
      </c>
      <c r="I127" s="44">
        <f t="shared" si="3"/>
        <v>20</v>
      </c>
      <c r="J127" s="31">
        <v>126</v>
      </c>
      <c r="K127" s="31" t="s">
        <v>56</v>
      </c>
    </row>
    <row r="128" spans="1:11" ht="14.25" customHeight="1" x14ac:dyDescent="0.35">
      <c r="A128" s="9">
        <v>43954</v>
      </c>
      <c r="B128" s="2" t="s">
        <v>14</v>
      </c>
      <c r="C128" s="10">
        <v>274083</v>
      </c>
      <c r="D128" s="10">
        <v>28427001</v>
      </c>
      <c r="E128" s="10">
        <f>SUMIFS(Лист2!$C:$C,Лист2!$A:$A,$A128,Лист2!$B:$B,$B128)</f>
        <v>129</v>
      </c>
      <c r="F128" s="10">
        <f>SUMIFS(Лист2!$D:$D,Лист2!$A:$A,$A128,Лист2!$B:$B,$B128)</f>
        <v>15778</v>
      </c>
      <c r="G128" s="10">
        <f>SUMIFS(Лист2!$E:$E,Лист2!$A:$A,$A128,Лист2!$B:$B,$B128)</f>
        <v>14624</v>
      </c>
      <c r="H128" s="10">
        <f t="shared" si="2"/>
        <v>220364.34883720931</v>
      </c>
      <c r="I128" s="43">
        <f t="shared" si="3"/>
        <v>18</v>
      </c>
      <c r="J128" s="30">
        <v>127</v>
      </c>
      <c r="K128" s="30" t="s">
        <v>54</v>
      </c>
    </row>
    <row r="129" spans="1:11" ht="14.25" customHeight="1" x14ac:dyDescent="0.35">
      <c r="A129" s="11">
        <v>43957</v>
      </c>
      <c r="B129" s="4" t="s">
        <v>14</v>
      </c>
      <c r="C129" s="12">
        <v>277512</v>
      </c>
      <c r="D129" s="12">
        <v>28770810.105599999</v>
      </c>
      <c r="E129" s="12">
        <f>SUMIFS(Лист2!$C:$C,Лист2!$A:$A,$A129,Лист2!$B:$B,$B129)</f>
        <v>129</v>
      </c>
      <c r="F129" s="12">
        <f>SUMIFS(Лист2!$D:$D,Лист2!$A:$A,$A129,Лист2!$B:$B,$B129)</f>
        <v>16376</v>
      </c>
      <c r="G129" s="12">
        <f>SUMIFS(Лист2!$E:$E,Лист2!$A:$A,$A129,Лист2!$B:$B,$B129)</f>
        <v>15197</v>
      </c>
      <c r="H129" s="12">
        <f t="shared" si="2"/>
        <v>223029.53570232558</v>
      </c>
      <c r="I129" s="44">
        <f t="shared" si="3"/>
        <v>19</v>
      </c>
      <c r="J129" s="31">
        <v>128</v>
      </c>
      <c r="K129" s="31" t="s">
        <v>55</v>
      </c>
    </row>
    <row r="130" spans="1:11" ht="14.25" customHeight="1" x14ac:dyDescent="0.35">
      <c r="A130" s="9">
        <v>43974</v>
      </c>
      <c r="B130" s="2" t="s">
        <v>14</v>
      </c>
      <c r="C130" s="10">
        <v>356982</v>
      </c>
      <c r="D130" s="10">
        <v>35103926.711549997</v>
      </c>
      <c r="E130" s="10">
        <f>SUMIFS(Лист2!$C:$C,Лист2!$A:$A,$A130,Лист2!$B:$B,$B130)</f>
        <v>129</v>
      </c>
      <c r="F130" s="10">
        <f>SUMIFS(Лист2!$D:$D,Лист2!$A:$A,$A130,Лист2!$B:$B,$B130)</f>
        <v>19856</v>
      </c>
      <c r="G130" s="10">
        <f>SUMIFS(Лист2!$E:$E,Лист2!$A:$A,$A130,Лист2!$B:$B,$B130)</f>
        <v>18325</v>
      </c>
      <c r="H130" s="10">
        <f t="shared" ref="H130:H193" si="4">IFERROR($D130/$E130,0)</f>
        <v>272123.46288023255</v>
      </c>
      <c r="I130" s="43">
        <f t="shared" ref="I130:I193" si="5">WEEKNUM($A130,21)</f>
        <v>21</v>
      </c>
      <c r="J130" s="30">
        <v>129</v>
      </c>
      <c r="K130" s="30" t="s">
        <v>57</v>
      </c>
    </row>
    <row r="131" spans="1:11" ht="14.25" customHeight="1" x14ac:dyDescent="0.35">
      <c r="A131" s="11">
        <v>43976</v>
      </c>
      <c r="B131" s="4" t="s">
        <v>14</v>
      </c>
      <c r="C131" s="12">
        <v>266983.5</v>
      </c>
      <c r="D131" s="12">
        <v>27165913.5</v>
      </c>
      <c r="E131" s="12">
        <f>SUMIFS(Лист2!$C:$C,Лист2!$A:$A,$A131,Лист2!$B:$B,$B131)</f>
        <v>129</v>
      </c>
      <c r="F131" s="12">
        <f>SUMIFS(Лист2!$D:$D,Лист2!$A:$A,$A131,Лист2!$B:$B,$B131)</f>
        <v>15822</v>
      </c>
      <c r="G131" s="12">
        <f>SUMIFS(Лист2!$E:$E,Лист2!$A:$A,$A131,Лист2!$B:$B,$B131)</f>
        <v>14753</v>
      </c>
      <c r="H131" s="12">
        <f t="shared" si="4"/>
        <v>210588.47674418605</v>
      </c>
      <c r="I131" s="44">
        <f t="shared" si="5"/>
        <v>22</v>
      </c>
      <c r="J131" s="31">
        <v>130</v>
      </c>
      <c r="K131" s="31" t="s">
        <v>58</v>
      </c>
    </row>
    <row r="132" spans="1:11" ht="14.25" customHeight="1" x14ac:dyDescent="0.35">
      <c r="A132" s="9">
        <v>43951</v>
      </c>
      <c r="B132" s="2" t="s">
        <v>14</v>
      </c>
      <c r="C132" s="10">
        <v>311131.5</v>
      </c>
      <c r="D132" s="10">
        <v>32418879</v>
      </c>
      <c r="E132" s="10">
        <f>SUMIFS(Лист2!$C:$C,Лист2!$A:$A,$A132,Лист2!$B:$B,$B132)</f>
        <v>129</v>
      </c>
      <c r="F132" s="10">
        <f>SUMIFS(Лист2!$D:$D,Лист2!$A:$A,$A132,Лист2!$B:$B,$B132)</f>
        <v>18042</v>
      </c>
      <c r="G132" s="10">
        <f>SUMIFS(Лист2!$E:$E,Лист2!$A:$A,$A132,Лист2!$B:$B,$B132)</f>
        <v>16631</v>
      </c>
      <c r="H132" s="10">
        <f t="shared" si="4"/>
        <v>251309.13953488372</v>
      </c>
      <c r="I132" s="43">
        <f t="shared" si="5"/>
        <v>18</v>
      </c>
      <c r="J132" s="30">
        <v>131</v>
      </c>
      <c r="K132" s="30" t="s">
        <v>54</v>
      </c>
    </row>
    <row r="133" spans="1:11" ht="14.25" customHeight="1" x14ac:dyDescent="0.35">
      <c r="A133" s="11">
        <v>43961</v>
      </c>
      <c r="B133" s="4" t="s">
        <v>14</v>
      </c>
      <c r="C133" s="12">
        <v>287206.5</v>
      </c>
      <c r="D133" s="12">
        <v>29536176.10605</v>
      </c>
      <c r="E133" s="12">
        <f>SUMIFS(Лист2!$C:$C,Лист2!$A:$A,$A133,Лист2!$B:$B,$B133)</f>
        <v>129</v>
      </c>
      <c r="F133" s="12">
        <f>SUMIFS(Лист2!$D:$D,Лист2!$A:$A,$A133,Лист2!$B:$B,$B133)</f>
        <v>16437</v>
      </c>
      <c r="G133" s="12">
        <f>SUMIFS(Лист2!$E:$E,Лист2!$A:$A,$A133,Лист2!$B:$B,$B133)</f>
        <v>15285</v>
      </c>
      <c r="H133" s="12">
        <f t="shared" si="4"/>
        <v>228962.6054732558</v>
      </c>
      <c r="I133" s="44">
        <f t="shared" si="5"/>
        <v>19</v>
      </c>
      <c r="J133" s="31">
        <v>132</v>
      </c>
      <c r="K133" s="31" t="s">
        <v>55</v>
      </c>
    </row>
    <row r="134" spans="1:11" ht="14.25" customHeight="1" x14ac:dyDescent="0.35">
      <c r="A134" s="9">
        <v>43959</v>
      </c>
      <c r="B134" s="2" t="s">
        <v>14</v>
      </c>
      <c r="C134" s="10">
        <v>370092</v>
      </c>
      <c r="D134" s="10">
        <v>38091556.5</v>
      </c>
      <c r="E134" s="10">
        <f>SUMIFS(Лист2!$C:$C,Лист2!$A:$A,$A134,Лист2!$B:$B,$B134)</f>
        <v>129</v>
      </c>
      <c r="F134" s="10">
        <f>SUMIFS(Лист2!$D:$D,Лист2!$A:$A,$A134,Лист2!$B:$B,$B134)</f>
        <v>20452</v>
      </c>
      <c r="G134" s="10">
        <f>SUMIFS(Лист2!$E:$E,Лист2!$A:$A,$A134,Лист2!$B:$B,$B134)</f>
        <v>18857</v>
      </c>
      <c r="H134" s="10">
        <f t="shared" si="4"/>
        <v>295283.38372093026</v>
      </c>
      <c r="I134" s="43">
        <f t="shared" si="5"/>
        <v>19</v>
      </c>
      <c r="J134" s="30">
        <v>133</v>
      </c>
      <c r="K134" s="30" t="s">
        <v>55</v>
      </c>
    </row>
    <row r="135" spans="1:11" ht="14.25" customHeight="1" x14ac:dyDescent="0.35">
      <c r="A135" s="11">
        <v>43958</v>
      </c>
      <c r="B135" s="4" t="s">
        <v>14</v>
      </c>
      <c r="C135" s="12">
        <v>247813.5</v>
      </c>
      <c r="D135" s="12">
        <v>25325271</v>
      </c>
      <c r="E135" s="12">
        <f>SUMIFS(Лист2!$C:$C,Лист2!$A:$A,$A135,Лист2!$B:$B,$B135)</f>
        <v>129</v>
      </c>
      <c r="F135" s="12">
        <f>SUMIFS(Лист2!$D:$D,Лист2!$A:$A,$A135,Лист2!$B:$B,$B135)</f>
        <v>14582</v>
      </c>
      <c r="G135" s="12">
        <f>SUMIFS(Лист2!$E:$E,Лист2!$A:$A,$A135,Лист2!$B:$B,$B135)</f>
        <v>13512</v>
      </c>
      <c r="H135" s="12">
        <f t="shared" si="4"/>
        <v>196319.93023255814</v>
      </c>
      <c r="I135" s="44">
        <f t="shared" si="5"/>
        <v>19</v>
      </c>
      <c r="J135" s="31">
        <v>134</v>
      </c>
      <c r="K135" s="31" t="s">
        <v>55</v>
      </c>
    </row>
    <row r="136" spans="1:11" ht="14.25" customHeight="1" x14ac:dyDescent="0.35">
      <c r="A136" s="9">
        <v>43975</v>
      </c>
      <c r="B136" s="2" t="s">
        <v>14</v>
      </c>
      <c r="C136" s="10">
        <v>287740.5</v>
      </c>
      <c r="D136" s="10">
        <v>28188534</v>
      </c>
      <c r="E136" s="10">
        <f>SUMIFS(Лист2!$C:$C,Лист2!$A:$A,$A136,Лист2!$B:$B,$B136)</f>
        <v>129</v>
      </c>
      <c r="F136" s="10">
        <f>SUMIFS(Лист2!$D:$D,Лист2!$A:$A,$A136,Лист2!$B:$B,$B136)</f>
        <v>16432</v>
      </c>
      <c r="G136" s="10">
        <f>SUMIFS(Лист2!$E:$E,Лист2!$A:$A,$A136,Лист2!$B:$B,$B136)</f>
        <v>15345</v>
      </c>
      <c r="H136" s="10">
        <f t="shared" si="4"/>
        <v>218515.76744186046</v>
      </c>
      <c r="I136" s="43">
        <f t="shared" si="5"/>
        <v>21</v>
      </c>
      <c r="J136" s="30">
        <v>135</v>
      </c>
      <c r="K136" s="30" t="s">
        <v>57</v>
      </c>
    </row>
    <row r="137" spans="1:11" ht="14.25" customHeight="1" x14ac:dyDescent="0.35">
      <c r="A137" s="11">
        <v>43967</v>
      </c>
      <c r="B137" s="4" t="s">
        <v>15</v>
      </c>
      <c r="C137" s="12">
        <v>408810</v>
      </c>
      <c r="D137" s="12">
        <v>42323631</v>
      </c>
      <c r="E137" s="12">
        <f>SUMIFS(Лист2!$C:$C,Лист2!$A:$A,$A137,Лист2!$B:$B,$B137)</f>
        <v>125</v>
      </c>
      <c r="F137" s="12">
        <f>SUMIFS(Лист2!$D:$D,Лист2!$A:$A,$A137,Лист2!$B:$B,$B137)</f>
        <v>22291</v>
      </c>
      <c r="G137" s="12">
        <f>SUMIFS(Лист2!$E:$E,Лист2!$A:$A,$A137,Лист2!$B:$B,$B137)</f>
        <v>20635</v>
      </c>
      <c r="H137" s="12">
        <f t="shared" si="4"/>
        <v>338589.04800000001</v>
      </c>
      <c r="I137" s="44">
        <f t="shared" si="5"/>
        <v>20</v>
      </c>
      <c r="J137" s="31">
        <v>136</v>
      </c>
      <c r="K137" s="31" t="s">
        <v>56</v>
      </c>
    </row>
    <row r="138" spans="1:11" ht="14.25" customHeight="1" x14ac:dyDescent="0.35">
      <c r="A138" s="9">
        <v>43970</v>
      </c>
      <c r="B138" s="2" t="s">
        <v>15</v>
      </c>
      <c r="C138" s="10">
        <v>362536.5</v>
      </c>
      <c r="D138" s="10">
        <v>37023243</v>
      </c>
      <c r="E138" s="10">
        <f>SUMIFS(Лист2!$C:$C,Лист2!$A:$A,$A138,Лист2!$B:$B,$B138)</f>
        <v>125</v>
      </c>
      <c r="F138" s="10">
        <f>SUMIFS(Лист2!$D:$D,Лист2!$A:$A,$A138,Лист2!$B:$B,$B138)</f>
        <v>20771</v>
      </c>
      <c r="G138" s="10">
        <f>SUMIFS(Лист2!$E:$E,Лист2!$A:$A,$A138,Лист2!$B:$B,$B138)</f>
        <v>19338</v>
      </c>
      <c r="H138" s="10">
        <f t="shared" si="4"/>
        <v>296185.94400000002</v>
      </c>
      <c r="I138" s="43">
        <f t="shared" si="5"/>
        <v>21</v>
      </c>
      <c r="J138" s="30">
        <v>137</v>
      </c>
      <c r="K138" s="30" t="s">
        <v>57</v>
      </c>
    </row>
    <row r="139" spans="1:11" ht="14.25" customHeight="1" x14ac:dyDescent="0.35">
      <c r="A139" s="11">
        <v>43968</v>
      </c>
      <c r="B139" s="4" t="s">
        <v>15</v>
      </c>
      <c r="C139" s="12">
        <v>357072</v>
      </c>
      <c r="D139" s="12">
        <v>36834567</v>
      </c>
      <c r="E139" s="12">
        <f>SUMIFS(Лист2!$C:$C,Лист2!$A:$A,$A139,Лист2!$B:$B,$B139)</f>
        <v>125</v>
      </c>
      <c r="F139" s="12">
        <f>SUMIFS(Лист2!$D:$D,Лист2!$A:$A,$A139,Лист2!$B:$B,$B139)</f>
        <v>20079</v>
      </c>
      <c r="G139" s="12">
        <f>SUMIFS(Лист2!$E:$E,Лист2!$A:$A,$A139,Лист2!$B:$B,$B139)</f>
        <v>18721</v>
      </c>
      <c r="H139" s="12">
        <f t="shared" si="4"/>
        <v>294676.53600000002</v>
      </c>
      <c r="I139" s="44">
        <f t="shared" si="5"/>
        <v>20</v>
      </c>
      <c r="J139" s="31">
        <v>138</v>
      </c>
      <c r="K139" s="31" t="s">
        <v>56</v>
      </c>
    </row>
    <row r="140" spans="1:11" ht="14.25" customHeight="1" x14ac:dyDescent="0.35">
      <c r="A140" s="9">
        <v>43960</v>
      </c>
      <c r="B140" s="2" t="s">
        <v>15</v>
      </c>
      <c r="C140" s="10">
        <v>359214</v>
      </c>
      <c r="D140" s="10">
        <v>38693427</v>
      </c>
      <c r="E140" s="10">
        <f>SUMIFS(Лист2!$C:$C,Лист2!$A:$A,$A140,Лист2!$B:$B,$B140)</f>
        <v>125</v>
      </c>
      <c r="F140" s="10">
        <f>SUMIFS(Лист2!$D:$D,Лист2!$A:$A,$A140,Лист2!$B:$B,$B140)</f>
        <v>20132</v>
      </c>
      <c r="G140" s="10">
        <f>SUMIFS(Лист2!$E:$E,Лист2!$A:$A,$A140,Лист2!$B:$B,$B140)</f>
        <v>18617</v>
      </c>
      <c r="H140" s="10">
        <f t="shared" si="4"/>
        <v>309547.41600000003</v>
      </c>
      <c r="I140" s="43">
        <f t="shared" si="5"/>
        <v>19</v>
      </c>
      <c r="J140" s="30">
        <v>139</v>
      </c>
      <c r="K140" s="30" t="s">
        <v>55</v>
      </c>
    </row>
    <row r="141" spans="1:11" ht="14.25" customHeight="1" x14ac:dyDescent="0.35">
      <c r="A141" s="11">
        <v>43955</v>
      </c>
      <c r="B141" s="4" t="s">
        <v>15</v>
      </c>
      <c r="C141" s="12">
        <v>360255</v>
      </c>
      <c r="D141" s="12">
        <v>38406954</v>
      </c>
      <c r="E141" s="12">
        <f>SUMIFS(Лист2!$C:$C,Лист2!$A:$A,$A141,Лист2!$B:$B,$B141)</f>
        <v>125</v>
      </c>
      <c r="F141" s="12">
        <f>SUMIFS(Лист2!$D:$D,Лист2!$A:$A,$A141,Лист2!$B:$B,$B141)</f>
        <v>20495</v>
      </c>
      <c r="G141" s="12">
        <f>SUMIFS(Лист2!$E:$E,Лист2!$A:$A,$A141,Лист2!$B:$B,$B141)</f>
        <v>18964</v>
      </c>
      <c r="H141" s="12">
        <f t="shared" si="4"/>
        <v>307255.63199999998</v>
      </c>
      <c r="I141" s="44">
        <f t="shared" si="5"/>
        <v>19</v>
      </c>
      <c r="J141" s="31">
        <v>140</v>
      </c>
      <c r="K141" s="31" t="s">
        <v>55</v>
      </c>
    </row>
    <row r="142" spans="1:11" ht="14.25" customHeight="1" x14ac:dyDescent="0.35">
      <c r="A142" s="9">
        <v>43950</v>
      </c>
      <c r="B142" s="2" t="s">
        <v>15</v>
      </c>
      <c r="C142" s="10">
        <v>387220.5</v>
      </c>
      <c r="D142" s="10">
        <v>41559384</v>
      </c>
      <c r="E142" s="10">
        <f>SUMIFS(Лист2!$C:$C,Лист2!$A:$A,$A142,Лист2!$B:$B,$B142)</f>
        <v>125</v>
      </c>
      <c r="F142" s="10">
        <f>SUMIFS(Лист2!$D:$D,Лист2!$A:$A,$A142,Лист2!$B:$B,$B142)</f>
        <v>21863</v>
      </c>
      <c r="G142" s="10">
        <f>SUMIFS(Лист2!$E:$E,Лист2!$A:$A,$A142,Лист2!$B:$B,$B142)</f>
        <v>20160</v>
      </c>
      <c r="H142" s="10">
        <f t="shared" si="4"/>
        <v>332475.07199999999</v>
      </c>
      <c r="I142" s="43">
        <f t="shared" si="5"/>
        <v>18</v>
      </c>
      <c r="J142" s="30">
        <v>141</v>
      </c>
      <c r="K142" s="30" t="s">
        <v>54</v>
      </c>
    </row>
    <row r="143" spans="1:11" ht="14.25" customHeight="1" x14ac:dyDescent="0.35">
      <c r="A143" s="11">
        <v>43953</v>
      </c>
      <c r="B143" s="4" t="s">
        <v>15</v>
      </c>
      <c r="C143" s="12">
        <v>296580</v>
      </c>
      <c r="D143" s="12">
        <v>31843737</v>
      </c>
      <c r="E143" s="12">
        <f>SUMIFS(Лист2!$C:$C,Лист2!$A:$A,$A143,Лист2!$B:$B,$B143)</f>
        <v>125</v>
      </c>
      <c r="F143" s="12">
        <f>SUMIFS(Лист2!$D:$D,Лист2!$A:$A,$A143,Лист2!$B:$B,$B143)</f>
        <v>16932</v>
      </c>
      <c r="G143" s="12">
        <f>SUMIFS(Лист2!$E:$E,Лист2!$A:$A,$A143,Лист2!$B:$B,$B143)</f>
        <v>15601</v>
      </c>
      <c r="H143" s="12">
        <f t="shared" si="4"/>
        <v>254749.89600000001</v>
      </c>
      <c r="I143" s="44">
        <f t="shared" si="5"/>
        <v>18</v>
      </c>
      <c r="J143" s="31">
        <v>142</v>
      </c>
      <c r="K143" s="31" t="s">
        <v>54</v>
      </c>
    </row>
    <row r="144" spans="1:11" ht="14.25" customHeight="1" x14ac:dyDescent="0.35">
      <c r="A144" s="9">
        <v>43977</v>
      </c>
      <c r="B144" s="2" t="s">
        <v>15</v>
      </c>
      <c r="C144" s="10">
        <v>369861</v>
      </c>
      <c r="D144" s="10">
        <v>38365960.5</v>
      </c>
      <c r="E144" s="10">
        <f>SUMIFS(Лист2!$C:$C,Лист2!$A:$A,$A144,Лист2!$B:$B,$B144)</f>
        <v>124</v>
      </c>
      <c r="F144" s="10">
        <f>SUMIFS(Лист2!$D:$D,Лист2!$A:$A,$A144,Лист2!$B:$B,$B144)</f>
        <v>21153</v>
      </c>
      <c r="G144" s="10">
        <f>SUMIFS(Лист2!$E:$E,Лист2!$A:$A,$A144,Лист2!$B:$B,$B144)</f>
        <v>19673</v>
      </c>
      <c r="H144" s="10">
        <f t="shared" si="4"/>
        <v>309402.90725806454</v>
      </c>
      <c r="I144" s="43">
        <f t="shared" si="5"/>
        <v>22</v>
      </c>
      <c r="J144" s="30">
        <v>143</v>
      </c>
      <c r="K144" s="30" t="s">
        <v>58</v>
      </c>
    </row>
    <row r="145" spans="1:11" ht="14.25" customHeight="1" x14ac:dyDescent="0.35">
      <c r="A145" s="11">
        <v>43952</v>
      </c>
      <c r="B145" s="4" t="s">
        <v>15</v>
      </c>
      <c r="C145" s="12">
        <v>372504</v>
      </c>
      <c r="D145" s="12">
        <v>40077193.5</v>
      </c>
      <c r="E145" s="12">
        <f>SUMIFS(Лист2!$C:$C,Лист2!$A:$A,$A145,Лист2!$B:$B,$B145)</f>
        <v>125</v>
      </c>
      <c r="F145" s="12">
        <f>SUMIFS(Лист2!$D:$D,Лист2!$A:$A,$A145,Лист2!$B:$B,$B145)</f>
        <v>20602</v>
      </c>
      <c r="G145" s="12">
        <f>SUMIFS(Лист2!$E:$E,Лист2!$A:$A,$A145,Лист2!$B:$B,$B145)</f>
        <v>18845</v>
      </c>
      <c r="H145" s="12">
        <f t="shared" si="4"/>
        <v>320617.54800000001</v>
      </c>
      <c r="I145" s="44">
        <f t="shared" si="5"/>
        <v>18</v>
      </c>
      <c r="J145" s="31">
        <v>144</v>
      </c>
      <c r="K145" s="31" t="s">
        <v>54</v>
      </c>
    </row>
    <row r="146" spans="1:11" ht="14.25" customHeight="1" x14ac:dyDescent="0.35">
      <c r="A146" s="9">
        <v>43963</v>
      </c>
      <c r="B146" s="2" t="s">
        <v>15</v>
      </c>
      <c r="C146" s="10">
        <v>373392</v>
      </c>
      <c r="D146" s="10">
        <v>39578577</v>
      </c>
      <c r="E146" s="10">
        <f>SUMIFS(Лист2!$C:$C,Лист2!$A:$A,$A146,Лист2!$B:$B,$B146)</f>
        <v>125</v>
      </c>
      <c r="F146" s="10">
        <f>SUMIFS(Лист2!$D:$D,Лист2!$A:$A,$A146,Лист2!$B:$B,$B146)</f>
        <v>21106</v>
      </c>
      <c r="G146" s="10">
        <f>SUMIFS(Лист2!$E:$E,Лист2!$A:$A,$A146,Лист2!$B:$B,$B146)</f>
        <v>19651</v>
      </c>
      <c r="H146" s="10">
        <f t="shared" si="4"/>
        <v>316628.61599999998</v>
      </c>
      <c r="I146" s="43">
        <f t="shared" si="5"/>
        <v>20</v>
      </c>
      <c r="J146" s="30">
        <v>145</v>
      </c>
      <c r="K146" s="30" t="s">
        <v>56</v>
      </c>
    </row>
    <row r="147" spans="1:11" ht="14.25" customHeight="1" x14ac:dyDescent="0.35">
      <c r="A147" s="11">
        <v>43972</v>
      </c>
      <c r="B147" s="4" t="s">
        <v>15</v>
      </c>
      <c r="C147" s="12">
        <v>378043.5</v>
      </c>
      <c r="D147" s="12">
        <v>37902156.57</v>
      </c>
      <c r="E147" s="12">
        <f>SUMIFS(Лист2!$C:$C,Лист2!$A:$A,$A147,Лист2!$B:$B,$B147)</f>
        <v>125</v>
      </c>
      <c r="F147" s="12">
        <f>SUMIFS(Лист2!$D:$D,Лист2!$A:$A,$A147,Лист2!$B:$B,$B147)</f>
        <v>20911</v>
      </c>
      <c r="G147" s="12">
        <f>SUMIFS(Лист2!$E:$E,Лист2!$A:$A,$A147,Лист2!$B:$B,$B147)</f>
        <v>19358</v>
      </c>
      <c r="H147" s="12">
        <f t="shared" si="4"/>
        <v>303217.25255999999</v>
      </c>
      <c r="I147" s="44">
        <f t="shared" si="5"/>
        <v>21</v>
      </c>
      <c r="J147" s="31">
        <v>146</v>
      </c>
      <c r="K147" s="31" t="s">
        <v>57</v>
      </c>
    </row>
    <row r="148" spans="1:11" ht="14.25" customHeight="1" x14ac:dyDescent="0.35">
      <c r="A148" s="9">
        <v>43971</v>
      </c>
      <c r="B148" s="2" t="s">
        <v>15</v>
      </c>
      <c r="C148" s="10">
        <v>388668</v>
      </c>
      <c r="D148" s="10">
        <v>39639309</v>
      </c>
      <c r="E148" s="10">
        <f>SUMIFS(Лист2!$C:$C,Лист2!$A:$A,$A148,Лист2!$B:$B,$B148)</f>
        <v>125</v>
      </c>
      <c r="F148" s="10">
        <f>SUMIFS(Лист2!$D:$D,Лист2!$A:$A,$A148,Лист2!$B:$B,$B148)</f>
        <v>21674</v>
      </c>
      <c r="G148" s="10">
        <f>SUMIFS(Лист2!$E:$E,Лист2!$A:$A,$A148,Лист2!$B:$B,$B148)</f>
        <v>20155</v>
      </c>
      <c r="H148" s="10">
        <f t="shared" si="4"/>
        <v>317114.47200000001</v>
      </c>
      <c r="I148" s="43">
        <f t="shared" si="5"/>
        <v>21</v>
      </c>
      <c r="J148" s="30">
        <v>147</v>
      </c>
      <c r="K148" s="30" t="s">
        <v>57</v>
      </c>
    </row>
    <row r="149" spans="1:11" ht="14.25" customHeight="1" x14ac:dyDescent="0.35">
      <c r="A149" s="11">
        <v>43956</v>
      </c>
      <c r="B149" s="4" t="s">
        <v>15</v>
      </c>
      <c r="C149" s="12">
        <v>333792</v>
      </c>
      <c r="D149" s="12">
        <v>35671734</v>
      </c>
      <c r="E149" s="12">
        <f>SUMIFS(Лист2!$C:$C,Лист2!$A:$A,$A149,Лист2!$B:$B,$B149)</f>
        <v>125</v>
      </c>
      <c r="F149" s="12">
        <f>SUMIFS(Лист2!$D:$D,Лист2!$A:$A,$A149,Лист2!$B:$B,$B149)</f>
        <v>18944</v>
      </c>
      <c r="G149" s="12">
        <f>SUMIFS(Лист2!$E:$E,Лист2!$A:$A,$A149,Лист2!$B:$B,$B149)</f>
        <v>17541</v>
      </c>
      <c r="H149" s="12">
        <f t="shared" si="4"/>
        <v>285373.87199999997</v>
      </c>
      <c r="I149" s="44">
        <f t="shared" si="5"/>
        <v>19</v>
      </c>
      <c r="J149" s="31">
        <v>148</v>
      </c>
      <c r="K149" s="31" t="s">
        <v>55</v>
      </c>
    </row>
    <row r="150" spans="1:11" ht="14.25" customHeight="1" x14ac:dyDescent="0.35">
      <c r="A150" s="9">
        <v>43949</v>
      </c>
      <c r="B150" s="2" t="s">
        <v>15</v>
      </c>
      <c r="C150" s="10">
        <v>376060.5</v>
      </c>
      <c r="D150" s="10">
        <v>39918028.5</v>
      </c>
      <c r="E150" s="10">
        <f>SUMIFS(Лист2!$C:$C,Лист2!$A:$A,$A150,Лист2!$B:$B,$B150)</f>
        <v>125</v>
      </c>
      <c r="F150" s="10">
        <f>SUMIFS(Лист2!$D:$D,Лист2!$A:$A,$A150,Лист2!$B:$B,$B150)</f>
        <v>20914</v>
      </c>
      <c r="G150" s="10">
        <f>SUMIFS(Лист2!$E:$E,Лист2!$A:$A,$A150,Лист2!$B:$B,$B150)</f>
        <v>19479</v>
      </c>
      <c r="H150" s="10">
        <f t="shared" si="4"/>
        <v>319344.228</v>
      </c>
      <c r="I150" s="43">
        <f t="shared" si="5"/>
        <v>18</v>
      </c>
      <c r="J150" s="30">
        <v>149</v>
      </c>
      <c r="K150" s="30" t="s">
        <v>54</v>
      </c>
    </row>
    <row r="151" spans="1:11" ht="14.25" customHeight="1" x14ac:dyDescent="0.35">
      <c r="A151" s="11">
        <v>43964</v>
      </c>
      <c r="B151" s="4" t="s">
        <v>15</v>
      </c>
      <c r="C151" s="12">
        <v>350068.5</v>
      </c>
      <c r="D151" s="12">
        <v>37197115.5</v>
      </c>
      <c r="E151" s="12">
        <f>SUMIFS(Лист2!$C:$C,Лист2!$A:$A,$A151,Лист2!$B:$B,$B151)</f>
        <v>125</v>
      </c>
      <c r="F151" s="12">
        <f>SUMIFS(Лист2!$D:$D,Лист2!$A:$A,$A151,Лист2!$B:$B,$B151)</f>
        <v>19965</v>
      </c>
      <c r="G151" s="12">
        <f>SUMIFS(Лист2!$E:$E,Лист2!$A:$A,$A151,Лист2!$B:$B,$B151)</f>
        <v>18573</v>
      </c>
      <c r="H151" s="12">
        <f t="shared" si="4"/>
        <v>297576.924</v>
      </c>
      <c r="I151" s="44">
        <f t="shared" si="5"/>
        <v>20</v>
      </c>
      <c r="J151" s="31">
        <v>150</v>
      </c>
      <c r="K151" s="31" t="s">
        <v>56</v>
      </c>
    </row>
    <row r="152" spans="1:11" ht="14.25" customHeight="1" x14ac:dyDescent="0.35">
      <c r="A152" s="9">
        <v>43982</v>
      </c>
      <c r="B152" s="2" t="s">
        <v>14</v>
      </c>
      <c r="C152" s="10">
        <v>294337.5</v>
      </c>
      <c r="D152" s="10">
        <v>29327766</v>
      </c>
      <c r="E152" s="10">
        <f>SUMIFS(Лист2!$C:$C,Лист2!$A:$A,$A152,Лист2!$B:$B,$B152)</f>
        <v>129</v>
      </c>
      <c r="F152" s="10">
        <f>SUMIFS(Лист2!$D:$D,Лист2!$A:$A,$A152,Лист2!$B:$B,$B152)</f>
        <v>17235</v>
      </c>
      <c r="G152" s="10">
        <f>SUMIFS(Лист2!$E:$E,Лист2!$A:$A,$A152,Лист2!$B:$B,$B152)</f>
        <v>16052</v>
      </c>
      <c r="H152" s="10">
        <f t="shared" si="4"/>
        <v>227347.02325581395</v>
      </c>
      <c r="I152" s="43">
        <f t="shared" si="5"/>
        <v>22</v>
      </c>
      <c r="J152" s="30">
        <v>151</v>
      </c>
      <c r="K152" s="30" t="s">
        <v>58</v>
      </c>
    </row>
    <row r="153" spans="1:11" ht="14.25" customHeight="1" x14ac:dyDescent="0.35">
      <c r="A153" s="11">
        <v>43954</v>
      </c>
      <c r="B153" s="4" t="s">
        <v>15</v>
      </c>
      <c r="C153" s="12">
        <v>342666</v>
      </c>
      <c r="D153" s="12">
        <v>36631999.5</v>
      </c>
      <c r="E153" s="12">
        <f>SUMIFS(Лист2!$C:$C,Лист2!$A:$A,$A153,Лист2!$B:$B,$B153)</f>
        <v>125</v>
      </c>
      <c r="F153" s="12">
        <f>SUMIFS(Лист2!$D:$D,Лист2!$A:$A,$A153,Лист2!$B:$B,$B153)</f>
        <v>18861</v>
      </c>
      <c r="G153" s="12">
        <f>SUMIFS(Лист2!$E:$E,Лист2!$A:$A,$A153,Лист2!$B:$B,$B153)</f>
        <v>17420</v>
      </c>
      <c r="H153" s="12">
        <f t="shared" si="4"/>
        <v>293055.99599999998</v>
      </c>
      <c r="I153" s="44">
        <f t="shared" si="5"/>
        <v>18</v>
      </c>
      <c r="J153" s="31">
        <v>152</v>
      </c>
      <c r="K153" s="31" t="s">
        <v>54</v>
      </c>
    </row>
    <row r="154" spans="1:11" ht="14.25" customHeight="1" x14ac:dyDescent="0.35">
      <c r="A154" s="9">
        <v>43981</v>
      </c>
      <c r="B154" s="2" t="s">
        <v>14</v>
      </c>
      <c r="C154" s="10">
        <v>364882.5</v>
      </c>
      <c r="D154" s="10">
        <v>35724493.5</v>
      </c>
      <c r="E154" s="10">
        <f>SUMIFS(Лист2!$C:$C,Лист2!$A:$A,$A154,Лист2!$B:$B,$B154)</f>
        <v>129</v>
      </c>
      <c r="F154" s="10">
        <f>SUMIFS(Лист2!$D:$D,Лист2!$A:$A,$A154,Лист2!$B:$B,$B154)</f>
        <v>20243</v>
      </c>
      <c r="G154" s="10">
        <f>SUMIFS(Лист2!$E:$E,Лист2!$A:$A,$A154,Лист2!$B:$B,$B154)</f>
        <v>18711</v>
      </c>
      <c r="H154" s="10">
        <f t="shared" si="4"/>
        <v>276934.0581395349</v>
      </c>
      <c r="I154" s="43">
        <f t="shared" si="5"/>
        <v>22</v>
      </c>
      <c r="J154" s="30">
        <v>153</v>
      </c>
      <c r="K154" s="30" t="s">
        <v>58</v>
      </c>
    </row>
    <row r="155" spans="1:11" ht="14.25" customHeight="1" x14ac:dyDescent="0.35">
      <c r="A155" s="11">
        <v>43957</v>
      </c>
      <c r="B155" s="4" t="s">
        <v>15</v>
      </c>
      <c r="C155" s="12">
        <v>355278</v>
      </c>
      <c r="D155" s="12">
        <v>38092344</v>
      </c>
      <c r="E155" s="12">
        <f>SUMIFS(Лист2!$C:$C,Лист2!$A:$A,$A155,Лист2!$B:$B,$B155)</f>
        <v>125</v>
      </c>
      <c r="F155" s="12">
        <f>SUMIFS(Лист2!$D:$D,Лист2!$A:$A,$A155,Лист2!$B:$B,$B155)</f>
        <v>20218</v>
      </c>
      <c r="G155" s="12">
        <f>SUMIFS(Лист2!$E:$E,Лист2!$A:$A,$A155,Лист2!$B:$B,$B155)</f>
        <v>18647</v>
      </c>
      <c r="H155" s="12">
        <f t="shared" si="4"/>
        <v>304738.75199999998</v>
      </c>
      <c r="I155" s="44">
        <f t="shared" si="5"/>
        <v>19</v>
      </c>
      <c r="J155" s="31">
        <v>154</v>
      </c>
      <c r="K155" s="31" t="s">
        <v>55</v>
      </c>
    </row>
    <row r="156" spans="1:11" ht="14.25" customHeight="1" x14ac:dyDescent="0.35">
      <c r="A156" s="9">
        <v>43974</v>
      </c>
      <c r="B156" s="2" t="s">
        <v>15</v>
      </c>
      <c r="C156" s="10">
        <v>456885</v>
      </c>
      <c r="D156" s="10">
        <v>46408080</v>
      </c>
      <c r="E156" s="10">
        <f>SUMIFS(Лист2!$C:$C,Лист2!$A:$A,$A156,Лист2!$B:$B,$B156)</f>
        <v>125</v>
      </c>
      <c r="F156" s="10">
        <f>SUMIFS(Лист2!$D:$D,Лист2!$A:$A,$A156,Лист2!$B:$B,$B156)</f>
        <v>24574</v>
      </c>
      <c r="G156" s="10">
        <f>SUMIFS(Лист2!$E:$E,Лист2!$A:$A,$A156,Лист2!$B:$B,$B156)</f>
        <v>22609</v>
      </c>
      <c r="H156" s="10">
        <f t="shared" si="4"/>
        <v>371264.64</v>
      </c>
      <c r="I156" s="43">
        <f t="shared" si="5"/>
        <v>21</v>
      </c>
      <c r="J156" s="30">
        <v>155</v>
      </c>
      <c r="K156" s="30" t="s">
        <v>57</v>
      </c>
    </row>
    <row r="157" spans="1:11" ht="14.25" customHeight="1" x14ac:dyDescent="0.35">
      <c r="A157" s="11">
        <v>43979</v>
      </c>
      <c r="B157" s="4" t="s">
        <v>14</v>
      </c>
      <c r="C157" s="12">
        <v>278491.5</v>
      </c>
      <c r="D157" s="12">
        <v>28151004.75</v>
      </c>
      <c r="E157" s="12">
        <f>SUMIFS(Лист2!$C:$C,Лист2!$A:$A,$A157,Лист2!$B:$B,$B157)</f>
        <v>129</v>
      </c>
      <c r="F157" s="12">
        <f>SUMIFS(Лист2!$D:$D,Лист2!$A:$A,$A157,Лист2!$B:$B,$B157)</f>
        <v>16453</v>
      </c>
      <c r="G157" s="12">
        <f>SUMIFS(Лист2!$E:$E,Лист2!$A:$A,$A157,Лист2!$B:$B,$B157)</f>
        <v>15289</v>
      </c>
      <c r="H157" s="12">
        <f t="shared" si="4"/>
        <v>218224.84302325582</v>
      </c>
      <c r="I157" s="44">
        <f t="shared" si="5"/>
        <v>22</v>
      </c>
      <c r="J157" s="31">
        <v>156</v>
      </c>
      <c r="K157" s="31" t="s">
        <v>58</v>
      </c>
    </row>
    <row r="158" spans="1:11" ht="14.25" customHeight="1" x14ac:dyDescent="0.35">
      <c r="A158" s="9">
        <v>43976</v>
      </c>
      <c r="B158" s="2" t="s">
        <v>15</v>
      </c>
      <c r="C158" s="10">
        <v>349734</v>
      </c>
      <c r="D158" s="10">
        <v>36883428</v>
      </c>
      <c r="E158" s="10">
        <f>SUMIFS(Лист2!$C:$C,Лист2!$A:$A,$A158,Лист2!$B:$B,$B158)</f>
        <v>124</v>
      </c>
      <c r="F158" s="10">
        <f>SUMIFS(Лист2!$D:$D,Лист2!$A:$A,$A158,Лист2!$B:$B,$B158)</f>
        <v>20358</v>
      </c>
      <c r="G158" s="10">
        <f>SUMIFS(Лист2!$E:$E,Лист2!$A:$A,$A158,Лист2!$B:$B,$B158)</f>
        <v>18890</v>
      </c>
      <c r="H158" s="10">
        <f t="shared" si="4"/>
        <v>297447</v>
      </c>
      <c r="I158" s="43">
        <f t="shared" si="5"/>
        <v>22</v>
      </c>
      <c r="J158" s="30">
        <v>157</v>
      </c>
      <c r="K158" s="30" t="s">
        <v>58</v>
      </c>
    </row>
    <row r="159" spans="1:11" ht="14.25" customHeight="1" x14ac:dyDescent="0.35">
      <c r="A159" s="11">
        <v>43951</v>
      </c>
      <c r="B159" s="4" t="s">
        <v>15</v>
      </c>
      <c r="C159" s="12">
        <v>401580</v>
      </c>
      <c r="D159" s="12">
        <v>43028734.5</v>
      </c>
      <c r="E159" s="12">
        <f>SUMIFS(Лист2!$C:$C,Лист2!$A:$A,$A159,Лист2!$B:$B,$B159)</f>
        <v>125</v>
      </c>
      <c r="F159" s="12">
        <f>SUMIFS(Лист2!$D:$D,Лист2!$A:$A,$A159,Лист2!$B:$B,$B159)</f>
        <v>22368</v>
      </c>
      <c r="G159" s="12">
        <f>SUMIFS(Лист2!$E:$E,Лист2!$A:$A,$A159,Лист2!$B:$B,$B159)</f>
        <v>20625</v>
      </c>
      <c r="H159" s="12">
        <f t="shared" si="4"/>
        <v>344229.87599999999</v>
      </c>
      <c r="I159" s="44">
        <f t="shared" si="5"/>
        <v>18</v>
      </c>
      <c r="J159" s="31">
        <v>158</v>
      </c>
      <c r="K159" s="31" t="s">
        <v>54</v>
      </c>
    </row>
    <row r="160" spans="1:11" ht="14.25" customHeight="1" x14ac:dyDescent="0.35">
      <c r="A160" s="9">
        <v>43961</v>
      </c>
      <c r="B160" s="2" t="s">
        <v>15</v>
      </c>
      <c r="C160" s="10">
        <v>368649</v>
      </c>
      <c r="D160" s="10">
        <v>39010875</v>
      </c>
      <c r="E160" s="10">
        <f>SUMIFS(Лист2!$C:$C,Лист2!$A:$A,$A160,Лист2!$B:$B,$B160)</f>
        <v>125</v>
      </c>
      <c r="F160" s="10">
        <f>SUMIFS(Лист2!$D:$D,Лист2!$A:$A,$A160,Лист2!$B:$B,$B160)</f>
        <v>20368</v>
      </c>
      <c r="G160" s="10">
        <f>SUMIFS(Лист2!$E:$E,Лист2!$A:$A,$A160,Лист2!$B:$B,$B160)</f>
        <v>18884</v>
      </c>
      <c r="H160" s="10">
        <f t="shared" si="4"/>
        <v>312087</v>
      </c>
      <c r="I160" s="43">
        <f t="shared" si="5"/>
        <v>19</v>
      </c>
      <c r="J160" s="30">
        <v>159</v>
      </c>
      <c r="K160" s="30" t="s">
        <v>55</v>
      </c>
    </row>
    <row r="161" spans="1:11" ht="14.25" customHeight="1" x14ac:dyDescent="0.35">
      <c r="A161" s="11">
        <v>43959</v>
      </c>
      <c r="B161" s="4" t="s">
        <v>15</v>
      </c>
      <c r="C161" s="12">
        <v>463530</v>
      </c>
      <c r="D161" s="12">
        <v>49123180.5</v>
      </c>
      <c r="E161" s="12">
        <f>SUMIFS(Лист2!$C:$C,Лист2!$A:$A,$A161,Лист2!$B:$B,$B161)</f>
        <v>125</v>
      </c>
      <c r="F161" s="12">
        <f>SUMIFS(Лист2!$D:$D,Лист2!$A:$A,$A161,Лист2!$B:$B,$B161)</f>
        <v>24620</v>
      </c>
      <c r="G161" s="12">
        <f>SUMIFS(Лист2!$E:$E,Лист2!$A:$A,$A161,Лист2!$B:$B,$B161)</f>
        <v>22641</v>
      </c>
      <c r="H161" s="12">
        <f t="shared" si="4"/>
        <v>392985.44400000002</v>
      </c>
      <c r="I161" s="44">
        <f t="shared" si="5"/>
        <v>19</v>
      </c>
      <c r="J161" s="31">
        <v>160</v>
      </c>
      <c r="K161" s="31" t="s">
        <v>55</v>
      </c>
    </row>
    <row r="162" spans="1:11" ht="14.25" customHeight="1" x14ac:dyDescent="0.35">
      <c r="A162" s="9">
        <v>43958</v>
      </c>
      <c r="B162" s="2" t="s">
        <v>15</v>
      </c>
      <c r="C162" s="10">
        <v>319110</v>
      </c>
      <c r="D162" s="10">
        <v>33763989</v>
      </c>
      <c r="E162" s="10">
        <f>SUMIFS(Лист2!$C:$C,Лист2!$A:$A,$A162,Лист2!$B:$B,$B162)</f>
        <v>125</v>
      </c>
      <c r="F162" s="10">
        <f>SUMIFS(Лист2!$D:$D,Лист2!$A:$A,$A162,Лист2!$B:$B,$B162)</f>
        <v>18014</v>
      </c>
      <c r="G162" s="10">
        <f>SUMIFS(Лист2!$E:$E,Лист2!$A:$A,$A162,Лист2!$B:$B,$B162)</f>
        <v>16675</v>
      </c>
      <c r="H162" s="10">
        <f t="shared" si="4"/>
        <v>270111.91200000001</v>
      </c>
      <c r="I162" s="43">
        <f t="shared" si="5"/>
        <v>19</v>
      </c>
      <c r="J162" s="30">
        <v>161</v>
      </c>
      <c r="K162" s="30" t="s">
        <v>55</v>
      </c>
    </row>
    <row r="163" spans="1:11" ht="14.25" customHeight="1" x14ac:dyDescent="0.35">
      <c r="A163" s="11">
        <v>43975</v>
      </c>
      <c r="B163" s="4" t="s">
        <v>15</v>
      </c>
      <c r="C163" s="12">
        <v>375744</v>
      </c>
      <c r="D163" s="12">
        <v>38191381.5</v>
      </c>
      <c r="E163" s="12">
        <f>SUMIFS(Лист2!$C:$C,Лист2!$A:$A,$A163,Лист2!$B:$B,$B163)</f>
        <v>125</v>
      </c>
      <c r="F163" s="12">
        <f>SUMIFS(Лист2!$D:$D,Лист2!$A:$A,$A163,Лист2!$B:$B,$B163)</f>
        <v>21004</v>
      </c>
      <c r="G163" s="12">
        <f>SUMIFS(Лист2!$E:$E,Лист2!$A:$A,$A163,Лист2!$B:$B,$B163)</f>
        <v>19556</v>
      </c>
      <c r="H163" s="12">
        <f t="shared" si="4"/>
        <v>305531.05200000003</v>
      </c>
      <c r="I163" s="44">
        <f t="shared" si="5"/>
        <v>21</v>
      </c>
      <c r="J163" s="31">
        <v>162</v>
      </c>
      <c r="K163" s="31" t="s">
        <v>57</v>
      </c>
    </row>
    <row r="164" spans="1:11" ht="14.25" customHeight="1" x14ac:dyDescent="0.35">
      <c r="A164" s="9">
        <v>43967</v>
      </c>
      <c r="B164" s="2" t="s">
        <v>16</v>
      </c>
      <c r="C164" s="10">
        <v>81331.5</v>
      </c>
      <c r="D164" s="10">
        <v>6652179</v>
      </c>
      <c r="E164" s="10">
        <f>SUMIFS(Лист2!$C:$C,Лист2!$A:$A,$A164,Лист2!$B:$B,$B164)</f>
        <v>36</v>
      </c>
      <c r="F164" s="10">
        <f>SUMIFS(Лист2!$D:$D,Лист2!$A:$A,$A164,Лист2!$B:$B,$B164)</f>
        <v>5286</v>
      </c>
      <c r="G164" s="10">
        <f>SUMIFS(Лист2!$E:$E,Лист2!$A:$A,$A164,Лист2!$B:$B,$B164)</f>
        <v>4867</v>
      </c>
      <c r="H164" s="10">
        <f t="shared" si="4"/>
        <v>184782.75</v>
      </c>
      <c r="I164" s="43">
        <f t="shared" si="5"/>
        <v>20</v>
      </c>
      <c r="J164" s="30">
        <v>163</v>
      </c>
      <c r="K164" s="30" t="s">
        <v>56</v>
      </c>
    </row>
    <row r="165" spans="1:11" ht="14.25" customHeight="1" x14ac:dyDescent="0.35">
      <c r="A165" s="11">
        <v>43970</v>
      </c>
      <c r="B165" s="4" t="s">
        <v>16</v>
      </c>
      <c r="C165" s="12">
        <v>75796.5</v>
      </c>
      <c r="D165" s="12">
        <v>6173463</v>
      </c>
      <c r="E165" s="12">
        <f>SUMIFS(Лист2!$C:$C,Лист2!$A:$A,$A165,Лист2!$B:$B,$B165)</f>
        <v>36</v>
      </c>
      <c r="F165" s="12">
        <f>SUMIFS(Лист2!$D:$D,Лист2!$A:$A,$A165,Лист2!$B:$B,$B165)</f>
        <v>5094</v>
      </c>
      <c r="G165" s="12">
        <f>SUMIFS(Лист2!$E:$E,Лист2!$A:$A,$A165,Лист2!$B:$B,$B165)</f>
        <v>4716</v>
      </c>
      <c r="H165" s="12">
        <f t="shared" si="4"/>
        <v>171485.08333333334</v>
      </c>
      <c r="I165" s="44">
        <f t="shared" si="5"/>
        <v>21</v>
      </c>
      <c r="J165" s="31">
        <v>164</v>
      </c>
      <c r="K165" s="31" t="s">
        <v>57</v>
      </c>
    </row>
    <row r="166" spans="1:11" ht="14.25" customHeight="1" x14ac:dyDescent="0.35">
      <c r="A166" s="9">
        <v>43968</v>
      </c>
      <c r="B166" s="2" t="s">
        <v>16</v>
      </c>
      <c r="C166" s="10">
        <v>72861</v>
      </c>
      <c r="D166" s="10">
        <v>5952802.5</v>
      </c>
      <c r="E166" s="10">
        <f>SUMIFS(Лист2!$C:$C,Лист2!$A:$A,$A166,Лист2!$B:$B,$B166)</f>
        <v>36</v>
      </c>
      <c r="F166" s="10">
        <f>SUMIFS(Лист2!$D:$D,Лист2!$A:$A,$A166,Лист2!$B:$B,$B166)</f>
        <v>4918</v>
      </c>
      <c r="G166" s="10">
        <f>SUMIFS(Лист2!$E:$E,Лист2!$A:$A,$A166,Лист2!$B:$B,$B166)</f>
        <v>4554</v>
      </c>
      <c r="H166" s="10">
        <f t="shared" si="4"/>
        <v>165355.625</v>
      </c>
      <c r="I166" s="43">
        <f t="shared" si="5"/>
        <v>20</v>
      </c>
      <c r="J166" s="30">
        <v>165</v>
      </c>
      <c r="K166" s="30" t="s">
        <v>56</v>
      </c>
    </row>
    <row r="167" spans="1:11" ht="14.25" customHeight="1" x14ac:dyDescent="0.35">
      <c r="A167" s="11">
        <v>43960</v>
      </c>
      <c r="B167" s="4" t="s">
        <v>16</v>
      </c>
      <c r="C167" s="12">
        <v>83373</v>
      </c>
      <c r="D167" s="12">
        <v>7253427</v>
      </c>
      <c r="E167" s="12">
        <f>SUMIFS(Лист2!$C:$C,Лист2!$A:$A,$A167,Лист2!$B:$B,$B167)</f>
        <v>36</v>
      </c>
      <c r="F167" s="12">
        <f>SUMIFS(Лист2!$D:$D,Лист2!$A:$A,$A167,Лист2!$B:$B,$B167)</f>
        <v>5413</v>
      </c>
      <c r="G167" s="12">
        <f>SUMIFS(Лист2!$E:$E,Лист2!$A:$A,$A167,Лист2!$B:$B,$B167)</f>
        <v>4959</v>
      </c>
      <c r="H167" s="12">
        <f t="shared" si="4"/>
        <v>201484.08333333334</v>
      </c>
      <c r="I167" s="44">
        <f t="shared" si="5"/>
        <v>19</v>
      </c>
      <c r="J167" s="31">
        <v>166</v>
      </c>
      <c r="K167" s="31" t="s">
        <v>55</v>
      </c>
    </row>
    <row r="168" spans="1:11" ht="14.25" customHeight="1" x14ac:dyDescent="0.35">
      <c r="A168" s="9">
        <v>43955</v>
      </c>
      <c r="B168" s="2" t="s">
        <v>16</v>
      </c>
      <c r="C168" s="10">
        <v>64108.5</v>
      </c>
      <c r="D168" s="10">
        <v>5561452.5</v>
      </c>
      <c r="E168" s="10">
        <f>SUMIFS(Лист2!$C:$C,Лист2!$A:$A,$A168,Лист2!$B:$B,$B168)</f>
        <v>36</v>
      </c>
      <c r="F168" s="10">
        <f>SUMIFS(Лист2!$D:$D,Лист2!$A:$A,$A168,Лист2!$B:$B,$B168)</f>
        <v>4508</v>
      </c>
      <c r="G168" s="10">
        <f>SUMIFS(Лист2!$E:$E,Лист2!$A:$A,$A168,Лист2!$B:$B,$B168)</f>
        <v>4149</v>
      </c>
      <c r="H168" s="10">
        <f t="shared" si="4"/>
        <v>154484.79166666666</v>
      </c>
      <c r="I168" s="43">
        <f t="shared" si="5"/>
        <v>19</v>
      </c>
      <c r="J168" s="30">
        <v>167</v>
      </c>
      <c r="K168" s="30" t="s">
        <v>55</v>
      </c>
    </row>
    <row r="169" spans="1:11" ht="14.25" customHeight="1" x14ac:dyDescent="0.35">
      <c r="A169" s="11">
        <v>43950</v>
      </c>
      <c r="B169" s="4" t="s">
        <v>16</v>
      </c>
      <c r="C169" s="12">
        <v>74707.5</v>
      </c>
      <c r="D169" s="12">
        <v>6454458</v>
      </c>
      <c r="E169" s="12">
        <f>SUMIFS(Лист2!$C:$C,Лист2!$A:$A,$A169,Лист2!$B:$B,$B169)</f>
        <v>36</v>
      </c>
      <c r="F169" s="12">
        <f>SUMIFS(Лист2!$D:$D,Лист2!$A:$A,$A169,Лист2!$B:$B,$B169)</f>
        <v>4937</v>
      </c>
      <c r="G169" s="12">
        <f>SUMIFS(Лист2!$E:$E,Лист2!$A:$A,$A169,Лист2!$B:$B,$B169)</f>
        <v>4561</v>
      </c>
      <c r="H169" s="12">
        <f t="shared" si="4"/>
        <v>179290.5</v>
      </c>
      <c r="I169" s="44">
        <f t="shared" si="5"/>
        <v>18</v>
      </c>
      <c r="J169" s="31">
        <v>168</v>
      </c>
      <c r="K169" s="31" t="s">
        <v>54</v>
      </c>
    </row>
    <row r="170" spans="1:11" ht="14.25" customHeight="1" x14ac:dyDescent="0.35">
      <c r="A170" s="9">
        <v>43953</v>
      </c>
      <c r="B170" s="2" t="s">
        <v>16</v>
      </c>
      <c r="C170" s="10">
        <v>46216.5</v>
      </c>
      <c r="D170" s="10">
        <v>4118251.5</v>
      </c>
      <c r="E170" s="10">
        <f>SUMIFS(Лист2!$C:$C,Лист2!$A:$A,$A170,Лист2!$B:$B,$B170)</f>
        <v>36</v>
      </c>
      <c r="F170" s="10">
        <f>SUMIFS(Лист2!$D:$D,Лист2!$A:$A,$A170,Лист2!$B:$B,$B170)</f>
        <v>3442</v>
      </c>
      <c r="G170" s="10">
        <f>SUMIFS(Лист2!$E:$E,Лист2!$A:$A,$A170,Лист2!$B:$B,$B170)</f>
        <v>3147</v>
      </c>
      <c r="H170" s="10">
        <f t="shared" si="4"/>
        <v>114395.875</v>
      </c>
      <c r="I170" s="43">
        <f t="shared" si="5"/>
        <v>18</v>
      </c>
      <c r="J170" s="30">
        <v>169</v>
      </c>
      <c r="K170" s="30" t="s">
        <v>54</v>
      </c>
    </row>
    <row r="171" spans="1:11" ht="14.25" customHeight="1" x14ac:dyDescent="0.35">
      <c r="A171" s="11">
        <v>43977</v>
      </c>
      <c r="B171" s="4" t="s">
        <v>16</v>
      </c>
      <c r="C171" s="12">
        <v>67726.5</v>
      </c>
      <c r="D171" s="12">
        <v>5864989.5</v>
      </c>
      <c r="E171" s="12">
        <f>SUMIFS(Лист2!$C:$C,Лист2!$A:$A,$A171,Лист2!$B:$B,$B171)</f>
        <v>36</v>
      </c>
      <c r="F171" s="12">
        <f>SUMIFS(Лист2!$D:$D,Лист2!$A:$A,$A171,Лист2!$B:$B,$B171)</f>
        <v>4770</v>
      </c>
      <c r="G171" s="12">
        <f>SUMIFS(Лист2!$E:$E,Лист2!$A:$A,$A171,Лист2!$B:$B,$B171)</f>
        <v>4424</v>
      </c>
      <c r="H171" s="12">
        <f t="shared" si="4"/>
        <v>162916.375</v>
      </c>
      <c r="I171" s="44">
        <f t="shared" si="5"/>
        <v>22</v>
      </c>
      <c r="J171" s="31">
        <v>170</v>
      </c>
      <c r="K171" s="31" t="s">
        <v>58</v>
      </c>
    </row>
    <row r="172" spans="1:11" ht="14.25" customHeight="1" x14ac:dyDescent="0.35">
      <c r="A172" s="9">
        <v>43952</v>
      </c>
      <c r="B172" s="2" t="s">
        <v>16</v>
      </c>
      <c r="C172" s="10">
        <v>82228.5</v>
      </c>
      <c r="D172" s="10">
        <v>7032225</v>
      </c>
      <c r="E172" s="10">
        <f>SUMIFS(Лист2!$C:$C,Лист2!$A:$A,$A172,Лист2!$B:$B,$B172)</f>
        <v>36</v>
      </c>
      <c r="F172" s="10">
        <f>SUMIFS(Лист2!$D:$D,Лист2!$A:$A,$A172,Лист2!$B:$B,$B172)</f>
        <v>5457</v>
      </c>
      <c r="G172" s="10">
        <f>SUMIFS(Лист2!$E:$E,Лист2!$A:$A,$A172,Лист2!$B:$B,$B172)</f>
        <v>4916</v>
      </c>
      <c r="H172" s="10">
        <f t="shared" si="4"/>
        <v>195339.58333333334</v>
      </c>
      <c r="I172" s="43">
        <f t="shared" si="5"/>
        <v>18</v>
      </c>
      <c r="J172" s="30">
        <v>171</v>
      </c>
      <c r="K172" s="30" t="s">
        <v>54</v>
      </c>
    </row>
    <row r="173" spans="1:11" ht="14.25" customHeight="1" x14ac:dyDescent="0.35">
      <c r="A173" s="11">
        <v>43963</v>
      </c>
      <c r="B173" s="4" t="s">
        <v>16</v>
      </c>
      <c r="C173" s="12">
        <v>64390.5</v>
      </c>
      <c r="D173" s="12">
        <v>5523145.5</v>
      </c>
      <c r="E173" s="12">
        <f>SUMIFS(Лист2!$C:$C,Лист2!$A:$A,$A173,Лист2!$B:$B,$B173)</f>
        <v>36</v>
      </c>
      <c r="F173" s="12">
        <f>SUMIFS(Лист2!$D:$D,Лист2!$A:$A,$A173,Лист2!$B:$B,$B173)</f>
        <v>4418</v>
      </c>
      <c r="G173" s="12">
        <f>SUMIFS(Лист2!$E:$E,Лист2!$A:$A,$A173,Лист2!$B:$B,$B173)</f>
        <v>4088</v>
      </c>
      <c r="H173" s="12">
        <f t="shared" si="4"/>
        <v>153420.70833333334</v>
      </c>
      <c r="I173" s="44">
        <f t="shared" si="5"/>
        <v>20</v>
      </c>
      <c r="J173" s="31">
        <v>172</v>
      </c>
      <c r="K173" s="31" t="s">
        <v>56</v>
      </c>
    </row>
    <row r="174" spans="1:11" ht="14.25" customHeight="1" x14ac:dyDescent="0.35">
      <c r="A174" s="9">
        <v>43972</v>
      </c>
      <c r="B174" s="2" t="s">
        <v>16</v>
      </c>
      <c r="C174" s="10">
        <v>73126.5</v>
      </c>
      <c r="D174" s="10">
        <v>5864085</v>
      </c>
      <c r="E174" s="10">
        <f>SUMIFS(Лист2!$C:$C,Лист2!$A:$A,$A174,Лист2!$B:$B,$B174)</f>
        <v>36</v>
      </c>
      <c r="F174" s="10">
        <f>SUMIFS(Лист2!$D:$D,Лист2!$A:$A,$A174,Лист2!$B:$B,$B174)</f>
        <v>4816</v>
      </c>
      <c r="G174" s="10">
        <f>SUMIFS(Лист2!$E:$E,Лист2!$A:$A,$A174,Лист2!$B:$B,$B174)</f>
        <v>4452</v>
      </c>
      <c r="H174" s="10">
        <f t="shared" si="4"/>
        <v>162891.25</v>
      </c>
      <c r="I174" s="43">
        <f t="shared" si="5"/>
        <v>21</v>
      </c>
      <c r="J174" s="30">
        <v>173</v>
      </c>
      <c r="K174" s="30" t="s">
        <v>57</v>
      </c>
    </row>
    <row r="175" spans="1:11" ht="14.25" customHeight="1" x14ac:dyDescent="0.35">
      <c r="A175" s="11">
        <v>43971</v>
      </c>
      <c r="B175" s="4" t="s">
        <v>16</v>
      </c>
      <c r="C175" s="12">
        <v>99631.5</v>
      </c>
      <c r="D175" s="12">
        <v>7121946</v>
      </c>
      <c r="E175" s="12">
        <f>SUMIFS(Лист2!$C:$C,Лист2!$A:$A,$A175,Лист2!$B:$B,$B175)</f>
        <v>36</v>
      </c>
      <c r="F175" s="12">
        <f>SUMIFS(Лист2!$D:$D,Лист2!$A:$A,$A175,Лист2!$B:$B,$B175)</f>
        <v>5914</v>
      </c>
      <c r="G175" s="12">
        <f>SUMIFS(Лист2!$E:$E,Лист2!$A:$A,$A175,Лист2!$B:$B,$B175)</f>
        <v>5384</v>
      </c>
      <c r="H175" s="12">
        <f t="shared" si="4"/>
        <v>197831.83333333334</v>
      </c>
      <c r="I175" s="44">
        <f t="shared" si="5"/>
        <v>21</v>
      </c>
      <c r="J175" s="31">
        <v>174</v>
      </c>
      <c r="K175" s="31" t="s">
        <v>57</v>
      </c>
    </row>
    <row r="176" spans="1:11" ht="14.25" customHeight="1" x14ac:dyDescent="0.35">
      <c r="A176" s="9">
        <v>43956</v>
      </c>
      <c r="B176" s="2" t="s">
        <v>16</v>
      </c>
      <c r="C176" s="10">
        <v>66396</v>
      </c>
      <c r="D176" s="10">
        <v>5770539</v>
      </c>
      <c r="E176" s="10">
        <f>SUMIFS(Лист2!$C:$C,Лист2!$A:$A,$A176,Лист2!$B:$B,$B176)</f>
        <v>36</v>
      </c>
      <c r="F176" s="10">
        <f>SUMIFS(Лист2!$D:$D,Лист2!$A:$A,$A176,Лист2!$B:$B,$B176)</f>
        <v>4575</v>
      </c>
      <c r="G176" s="10">
        <f>SUMIFS(Лист2!$E:$E,Лист2!$A:$A,$A176,Лист2!$B:$B,$B176)</f>
        <v>4206</v>
      </c>
      <c r="H176" s="10">
        <f t="shared" si="4"/>
        <v>160292.75</v>
      </c>
      <c r="I176" s="43">
        <f t="shared" si="5"/>
        <v>19</v>
      </c>
      <c r="J176" s="30">
        <v>175</v>
      </c>
      <c r="K176" s="30" t="s">
        <v>55</v>
      </c>
    </row>
    <row r="177" spans="1:11" ht="14.25" customHeight="1" x14ac:dyDescent="0.35">
      <c r="A177" s="11">
        <v>43949</v>
      </c>
      <c r="B177" s="4" t="s">
        <v>16</v>
      </c>
      <c r="C177" s="12">
        <v>73147.5</v>
      </c>
      <c r="D177" s="12">
        <v>6288246</v>
      </c>
      <c r="E177" s="12">
        <f>SUMIFS(Лист2!$C:$C,Лист2!$A:$A,$A177,Лист2!$B:$B,$B177)</f>
        <v>36</v>
      </c>
      <c r="F177" s="12">
        <f>SUMIFS(Лист2!$D:$D,Лист2!$A:$A,$A177,Лист2!$B:$B,$B177)</f>
        <v>4923</v>
      </c>
      <c r="G177" s="12">
        <f>SUMIFS(Лист2!$E:$E,Лист2!$A:$A,$A177,Лист2!$B:$B,$B177)</f>
        <v>4560</v>
      </c>
      <c r="H177" s="12">
        <f t="shared" si="4"/>
        <v>174673.5</v>
      </c>
      <c r="I177" s="44">
        <f t="shared" si="5"/>
        <v>18</v>
      </c>
      <c r="J177" s="31">
        <v>176</v>
      </c>
      <c r="K177" s="31" t="s">
        <v>54</v>
      </c>
    </row>
    <row r="178" spans="1:11" ht="14.25" customHeight="1" x14ac:dyDescent="0.35">
      <c r="A178" s="9">
        <v>43964</v>
      </c>
      <c r="B178" s="2" t="s">
        <v>16</v>
      </c>
      <c r="C178" s="10">
        <v>73062</v>
      </c>
      <c r="D178" s="10">
        <v>6333828</v>
      </c>
      <c r="E178" s="10">
        <f>SUMIFS(Лист2!$C:$C,Лист2!$A:$A,$A178,Лист2!$B:$B,$B178)</f>
        <v>36</v>
      </c>
      <c r="F178" s="10">
        <f>SUMIFS(Лист2!$D:$D,Лист2!$A:$A,$A178,Лист2!$B:$B,$B178)</f>
        <v>4967</v>
      </c>
      <c r="G178" s="10">
        <f>SUMIFS(Лист2!$E:$E,Лист2!$A:$A,$A178,Лист2!$B:$B,$B178)</f>
        <v>4583</v>
      </c>
      <c r="H178" s="10">
        <f t="shared" si="4"/>
        <v>175939.66666666666</v>
      </c>
      <c r="I178" s="43">
        <f t="shared" si="5"/>
        <v>20</v>
      </c>
      <c r="J178" s="30">
        <v>177</v>
      </c>
      <c r="K178" s="30" t="s">
        <v>56</v>
      </c>
    </row>
    <row r="179" spans="1:11" ht="14.25" customHeight="1" x14ac:dyDescent="0.35">
      <c r="A179" s="11">
        <v>43982</v>
      </c>
      <c r="B179" s="4" t="s">
        <v>15</v>
      </c>
      <c r="C179" s="12">
        <v>379663.5</v>
      </c>
      <c r="D179" s="12">
        <v>39380178</v>
      </c>
      <c r="E179" s="12">
        <f>SUMIFS(Лист2!$C:$C,Лист2!$A:$A,$A179,Лист2!$B:$B,$B179)</f>
        <v>124</v>
      </c>
      <c r="F179" s="12">
        <f>SUMIFS(Лист2!$D:$D,Лист2!$A:$A,$A179,Лист2!$B:$B,$B179)</f>
        <v>21392</v>
      </c>
      <c r="G179" s="12">
        <f>SUMIFS(Лист2!$E:$E,Лист2!$A:$A,$A179,Лист2!$B:$B,$B179)</f>
        <v>19869</v>
      </c>
      <c r="H179" s="12">
        <f t="shared" si="4"/>
        <v>317582.08064516127</v>
      </c>
      <c r="I179" s="44">
        <f t="shared" si="5"/>
        <v>22</v>
      </c>
      <c r="J179" s="31">
        <v>178</v>
      </c>
      <c r="K179" s="31" t="s">
        <v>58</v>
      </c>
    </row>
    <row r="180" spans="1:11" ht="14.25" customHeight="1" x14ac:dyDescent="0.35">
      <c r="A180" s="9">
        <v>43954</v>
      </c>
      <c r="B180" s="2" t="s">
        <v>16</v>
      </c>
      <c r="C180" s="10">
        <v>70581</v>
      </c>
      <c r="D180" s="10">
        <v>6221320.5</v>
      </c>
      <c r="E180" s="10">
        <f>SUMIFS(Лист2!$C:$C,Лист2!$A:$A,$A180,Лист2!$B:$B,$B180)</f>
        <v>36</v>
      </c>
      <c r="F180" s="10">
        <f>SUMIFS(Лист2!$D:$D,Лист2!$A:$A,$A180,Лист2!$B:$B,$B180)</f>
        <v>4751</v>
      </c>
      <c r="G180" s="10">
        <f>SUMIFS(Лист2!$E:$E,Лист2!$A:$A,$A180,Лист2!$B:$B,$B180)</f>
        <v>4370</v>
      </c>
      <c r="H180" s="10">
        <f t="shared" si="4"/>
        <v>172814.45833333334</v>
      </c>
      <c r="I180" s="43">
        <f t="shared" si="5"/>
        <v>18</v>
      </c>
      <c r="J180" s="30">
        <v>179</v>
      </c>
      <c r="K180" s="30" t="s">
        <v>54</v>
      </c>
    </row>
    <row r="181" spans="1:11" ht="14.25" customHeight="1" x14ac:dyDescent="0.35">
      <c r="A181" s="11">
        <v>43981</v>
      </c>
      <c r="B181" s="4" t="s">
        <v>15</v>
      </c>
      <c r="C181" s="12">
        <v>453123</v>
      </c>
      <c r="D181" s="12">
        <v>46370904</v>
      </c>
      <c r="E181" s="12">
        <f>SUMIFS(Лист2!$C:$C,Лист2!$A:$A,$A181,Лист2!$B:$B,$B181)</f>
        <v>124</v>
      </c>
      <c r="F181" s="12">
        <f>SUMIFS(Лист2!$D:$D,Лист2!$A:$A,$A181,Лист2!$B:$B,$B181)</f>
        <v>24325</v>
      </c>
      <c r="G181" s="12">
        <f>SUMIFS(Лист2!$E:$E,Лист2!$A:$A,$A181,Лист2!$B:$B,$B181)</f>
        <v>22469</v>
      </c>
      <c r="H181" s="12">
        <f t="shared" si="4"/>
        <v>373958.90322580643</v>
      </c>
      <c r="I181" s="44">
        <f t="shared" si="5"/>
        <v>22</v>
      </c>
      <c r="J181" s="31">
        <v>180</v>
      </c>
      <c r="K181" s="31" t="s">
        <v>58</v>
      </c>
    </row>
    <row r="182" spans="1:11" ht="14.25" customHeight="1" x14ac:dyDescent="0.35">
      <c r="A182" s="9">
        <v>43957</v>
      </c>
      <c r="B182" s="2" t="s">
        <v>16</v>
      </c>
      <c r="C182" s="10">
        <v>63012</v>
      </c>
      <c r="D182" s="10">
        <v>5454121.5</v>
      </c>
      <c r="E182" s="10">
        <f>SUMIFS(Лист2!$C:$C,Лист2!$A:$A,$A182,Лист2!$B:$B,$B182)</f>
        <v>36</v>
      </c>
      <c r="F182" s="10">
        <f>SUMIFS(Лист2!$D:$D,Лист2!$A:$A,$A182,Лист2!$B:$B,$B182)</f>
        <v>4384</v>
      </c>
      <c r="G182" s="10">
        <f>SUMIFS(Лист2!$E:$E,Лист2!$A:$A,$A182,Лист2!$B:$B,$B182)</f>
        <v>4025</v>
      </c>
      <c r="H182" s="10">
        <f t="shared" si="4"/>
        <v>151503.375</v>
      </c>
      <c r="I182" s="43">
        <f t="shared" si="5"/>
        <v>19</v>
      </c>
      <c r="J182" s="30">
        <v>181</v>
      </c>
      <c r="K182" s="30" t="s">
        <v>55</v>
      </c>
    </row>
    <row r="183" spans="1:11" ht="14.25" customHeight="1" x14ac:dyDescent="0.35">
      <c r="A183" s="11">
        <v>43974</v>
      </c>
      <c r="B183" s="4" t="s">
        <v>16</v>
      </c>
      <c r="C183" s="12">
        <v>89556</v>
      </c>
      <c r="D183" s="12">
        <v>7173117</v>
      </c>
      <c r="E183" s="12">
        <f>SUMIFS(Лист2!$C:$C,Лист2!$A:$A,$A183,Лист2!$B:$B,$B183)</f>
        <v>36</v>
      </c>
      <c r="F183" s="12">
        <f>SUMIFS(Лист2!$D:$D,Лист2!$A:$A,$A183,Лист2!$B:$B,$B183)</f>
        <v>5651</v>
      </c>
      <c r="G183" s="12">
        <f>SUMIFS(Лист2!$E:$E,Лист2!$A:$A,$A183,Лист2!$B:$B,$B183)</f>
        <v>5212</v>
      </c>
      <c r="H183" s="12">
        <f t="shared" si="4"/>
        <v>199253.25</v>
      </c>
      <c r="I183" s="44">
        <f t="shared" si="5"/>
        <v>21</v>
      </c>
      <c r="J183" s="31">
        <v>182</v>
      </c>
      <c r="K183" s="31" t="s">
        <v>57</v>
      </c>
    </row>
    <row r="184" spans="1:11" ht="14.25" customHeight="1" x14ac:dyDescent="0.35">
      <c r="A184" s="9">
        <v>43979</v>
      </c>
      <c r="B184" s="2" t="s">
        <v>15</v>
      </c>
      <c r="C184" s="10">
        <v>364638</v>
      </c>
      <c r="D184" s="10">
        <v>37947688.5</v>
      </c>
      <c r="E184" s="10">
        <f>SUMIFS(Лист2!$C:$C,Лист2!$A:$A,$A184,Лист2!$B:$B,$B184)</f>
        <v>124</v>
      </c>
      <c r="F184" s="10">
        <f>SUMIFS(Лист2!$D:$D,Лист2!$A:$A,$A184,Лист2!$B:$B,$B184)</f>
        <v>20868</v>
      </c>
      <c r="G184" s="10">
        <f>SUMIFS(Лист2!$E:$E,Лист2!$A:$A,$A184,Лист2!$B:$B,$B184)</f>
        <v>19342</v>
      </c>
      <c r="H184" s="10">
        <f t="shared" si="4"/>
        <v>306029.74596774194</v>
      </c>
      <c r="I184" s="43">
        <f t="shared" si="5"/>
        <v>22</v>
      </c>
      <c r="J184" s="30">
        <v>183</v>
      </c>
      <c r="K184" s="30" t="s">
        <v>58</v>
      </c>
    </row>
    <row r="185" spans="1:11" ht="14.25" customHeight="1" x14ac:dyDescent="0.35">
      <c r="A185" s="11">
        <v>43976</v>
      </c>
      <c r="B185" s="4" t="s">
        <v>16</v>
      </c>
      <c r="C185" s="12">
        <v>66316.5</v>
      </c>
      <c r="D185" s="12">
        <v>5704650</v>
      </c>
      <c r="E185" s="12">
        <f>SUMIFS(Лист2!$C:$C,Лист2!$A:$A,$A185,Лист2!$B:$B,$B185)</f>
        <v>36</v>
      </c>
      <c r="F185" s="12">
        <f>SUMIFS(Лист2!$D:$D,Лист2!$A:$A,$A185,Лист2!$B:$B,$B185)</f>
        <v>4641</v>
      </c>
      <c r="G185" s="12">
        <f>SUMIFS(Лист2!$E:$E,Лист2!$A:$A,$A185,Лист2!$B:$B,$B185)</f>
        <v>4274</v>
      </c>
      <c r="H185" s="12">
        <f t="shared" si="4"/>
        <v>158462.5</v>
      </c>
      <c r="I185" s="44">
        <f t="shared" si="5"/>
        <v>22</v>
      </c>
      <c r="J185" s="31">
        <v>184</v>
      </c>
      <c r="K185" s="31" t="s">
        <v>58</v>
      </c>
    </row>
    <row r="186" spans="1:11" ht="14.25" customHeight="1" x14ac:dyDescent="0.35">
      <c r="A186" s="9">
        <v>43951</v>
      </c>
      <c r="B186" s="2" t="s">
        <v>16</v>
      </c>
      <c r="C186" s="10">
        <v>78235.5</v>
      </c>
      <c r="D186" s="10">
        <v>6819594</v>
      </c>
      <c r="E186" s="10">
        <f>SUMIFS(Лист2!$C:$C,Лист2!$A:$A,$A186,Лист2!$B:$B,$B186)</f>
        <v>36</v>
      </c>
      <c r="F186" s="10">
        <f>SUMIFS(Лист2!$D:$D,Лист2!$A:$A,$A186,Лист2!$B:$B,$B186)</f>
        <v>5143</v>
      </c>
      <c r="G186" s="10">
        <f>SUMIFS(Лист2!$E:$E,Лист2!$A:$A,$A186,Лист2!$B:$B,$B186)</f>
        <v>4715</v>
      </c>
      <c r="H186" s="10">
        <f t="shared" si="4"/>
        <v>189433.16666666666</v>
      </c>
      <c r="I186" s="43">
        <f t="shared" si="5"/>
        <v>18</v>
      </c>
      <c r="J186" s="30">
        <v>185</v>
      </c>
      <c r="K186" s="30" t="s">
        <v>54</v>
      </c>
    </row>
    <row r="187" spans="1:11" ht="14.25" customHeight="1" x14ac:dyDescent="0.35">
      <c r="A187" s="11">
        <v>43961</v>
      </c>
      <c r="B187" s="4" t="s">
        <v>16</v>
      </c>
      <c r="C187" s="12">
        <v>88311</v>
      </c>
      <c r="D187" s="12">
        <v>7726069.5</v>
      </c>
      <c r="E187" s="12">
        <f>SUMIFS(Лист2!$C:$C,Лист2!$A:$A,$A187,Лист2!$B:$B,$B187)</f>
        <v>36</v>
      </c>
      <c r="F187" s="12">
        <f>SUMIFS(Лист2!$D:$D,Лист2!$A:$A,$A187,Лист2!$B:$B,$B187)</f>
        <v>5746</v>
      </c>
      <c r="G187" s="12">
        <f>SUMIFS(Лист2!$E:$E,Лист2!$A:$A,$A187,Лист2!$B:$B,$B187)</f>
        <v>5277</v>
      </c>
      <c r="H187" s="12">
        <f t="shared" si="4"/>
        <v>214613.04166666666</v>
      </c>
      <c r="I187" s="44">
        <f t="shared" si="5"/>
        <v>19</v>
      </c>
      <c r="J187" s="31">
        <v>186</v>
      </c>
      <c r="K187" s="31" t="s">
        <v>55</v>
      </c>
    </row>
    <row r="188" spans="1:11" ht="14.25" customHeight="1" x14ac:dyDescent="0.35">
      <c r="A188" s="9">
        <v>43959</v>
      </c>
      <c r="B188" s="2" t="s">
        <v>16</v>
      </c>
      <c r="C188" s="10">
        <v>61804.5</v>
      </c>
      <c r="D188" s="10">
        <v>5365708.5</v>
      </c>
      <c r="E188" s="10">
        <f>SUMIFS(Лист2!$C:$C,Лист2!$A:$A,$A188,Лист2!$B:$B,$B188)</f>
        <v>36</v>
      </c>
      <c r="F188" s="10">
        <f>SUMIFS(Лист2!$D:$D,Лист2!$A:$A,$A188,Лист2!$B:$B,$B188)</f>
        <v>4199</v>
      </c>
      <c r="G188" s="10">
        <f>SUMIFS(Лист2!$E:$E,Лист2!$A:$A,$A188,Лист2!$B:$B,$B188)</f>
        <v>3867</v>
      </c>
      <c r="H188" s="10">
        <f t="shared" si="4"/>
        <v>149047.45833333334</v>
      </c>
      <c r="I188" s="43">
        <f t="shared" si="5"/>
        <v>19</v>
      </c>
      <c r="J188" s="30">
        <v>187</v>
      </c>
      <c r="K188" s="30" t="s">
        <v>55</v>
      </c>
    </row>
    <row r="189" spans="1:11" ht="14.25" customHeight="1" x14ac:dyDescent="0.35">
      <c r="A189" s="11">
        <v>43958</v>
      </c>
      <c r="B189" s="4" t="s">
        <v>16</v>
      </c>
      <c r="C189" s="12">
        <v>71067</v>
      </c>
      <c r="D189" s="12">
        <v>6175837.5</v>
      </c>
      <c r="E189" s="12">
        <f>SUMIFS(Лист2!$C:$C,Лист2!$A:$A,$A189,Лист2!$B:$B,$B189)</f>
        <v>36</v>
      </c>
      <c r="F189" s="12">
        <f>SUMIFS(Лист2!$D:$D,Лист2!$A:$A,$A189,Лист2!$B:$B,$B189)</f>
        <v>4826</v>
      </c>
      <c r="G189" s="12">
        <f>SUMIFS(Лист2!$E:$E,Лист2!$A:$A,$A189,Лист2!$B:$B,$B189)</f>
        <v>4426</v>
      </c>
      <c r="H189" s="12">
        <f t="shared" si="4"/>
        <v>171551.04166666666</v>
      </c>
      <c r="I189" s="44">
        <f t="shared" si="5"/>
        <v>19</v>
      </c>
      <c r="J189" s="31">
        <v>188</v>
      </c>
      <c r="K189" s="31" t="s">
        <v>55</v>
      </c>
    </row>
    <row r="190" spans="1:11" ht="14.25" customHeight="1" x14ac:dyDescent="0.35">
      <c r="A190" s="9">
        <v>43975</v>
      </c>
      <c r="B190" s="2" t="s">
        <v>16</v>
      </c>
      <c r="C190" s="10">
        <v>74649</v>
      </c>
      <c r="D190" s="10">
        <v>6098236.5</v>
      </c>
      <c r="E190" s="10">
        <f>SUMIFS(Лист2!$C:$C,Лист2!$A:$A,$A190,Лист2!$B:$B,$B190)</f>
        <v>36</v>
      </c>
      <c r="F190" s="10">
        <f>SUMIFS(Лист2!$D:$D,Лист2!$A:$A,$A190,Лист2!$B:$B,$B190)</f>
        <v>4915</v>
      </c>
      <c r="G190" s="10">
        <f>SUMIFS(Лист2!$E:$E,Лист2!$A:$A,$A190,Лист2!$B:$B,$B190)</f>
        <v>4562</v>
      </c>
      <c r="H190" s="10">
        <f t="shared" si="4"/>
        <v>169395.45833333334</v>
      </c>
      <c r="I190" s="43">
        <f t="shared" si="5"/>
        <v>21</v>
      </c>
      <c r="J190" s="30">
        <v>189</v>
      </c>
      <c r="K190" s="30" t="s">
        <v>57</v>
      </c>
    </row>
    <row r="191" spans="1:11" ht="14.25" customHeight="1" x14ac:dyDescent="0.35">
      <c r="A191" s="11">
        <v>43967</v>
      </c>
      <c r="B191" s="4" t="s">
        <v>17</v>
      </c>
      <c r="C191" s="12">
        <v>44560.5</v>
      </c>
      <c r="D191" s="12">
        <v>4025148</v>
      </c>
      <c r="E191" s="12">
        <f>SUMIFS(Лист2!$C:$C,Лист2!$A:$A,$A191,Лист2!$B:$B,$B191)</f>
        <v>21</v>
      </c>
      <c r="F191" s="12">
        <f>SUMIFS(Лист2!$D:$D,Лист2!$A:$A,$A191,Лист2!$B:$B,$B191)</f>
        <v>2427</v>
      </c>
      <c r="G191" s="12">
        <f>SUMIFS(Лист2!$E:$E,Лист2!$A:$A,$A191,Лист2!$B:$B,$B191)</f>
        <v>2213</v>
      </c>
      <c r="H191" s="12">
        <f t="shared" si="4"/>
        <v>191673.71428571429</v>
      </c>
      <c r="I191" s="44">
        <f t="shared" si="5"/>
        <v>20</v>
      </c>
      <c r="J191" s="31">
        <v>190</v>
      </c>
      <c r="K191" s="31" t="s">
        <v>56</v>
      </c>
    </row>
    <row r="192" spans="1:11" ht="14.25" customHeight="1" x14ac:dyDescent="0.35">
      <c r="A192" s="9">
        <v>43970</v>
      </c>
      <c r="B192" s="2" t="s">
        <v>17</v>
      </c>
      <c r="C192" s="10">
        <v>38250</v>
      </c>
      <c r="D192" s="10">
        <v>3552937.5</v>
      </c>
      <c r="E192" s="10">
        <f>SUMIFS(Лист2!$C:$C,Лист2!$A:$A,$A192,Лист2!$B:$B,$B192)</f>
        <v>21</v>
      </c>
      <c r="F192" s="10">
        <f>SUMIFS(Лист2!$D:$D,Лист2!$A:$A,$A192,Лист2!$B:$B,$B192)</f>
        <v>2245</v>
      </c>
      <c r="G192" s="10">
        <f>SUMIFS(Лист2!$E:$E,Лист2!$A:$A,$A192,Лист2!$B:$B,$B192)</f>
        <v>2053</v>
      </c>
      <c r="H192" s="10">
        <f t="shared" si="4"/>
        <v>169187.5</v>
      </c>
      <c r="I192" s="43">
        <f t="shared" si="5"/>
        <v>21</v>
      </c>
      <c r="J192" s="30">
        <v>191</v>
      </c>
      <c r="K192" s="30" t="s">
        <v>57</v>
      </c>
    </row>
    <row r="193" spans="1:11" ht="14.25" customHeight="1" x14ac:dyDescent="0.35">
      <c r="A193" s="11">
        <v>43968</v>
      </c>
      <c r="B193" s="4" t="s">
        <v>17</v>
      </c>
      <c r="C193" s="12">
        <v>34830</v>
      </c>
      <c r="D193" s="12">
        <v>3191155.5</v>
      </c>
      <c r="E193" s="12">
        <f>SUMIFS(Лист2!$C:$C,Лист2!$A:$A,$A193,Лист2!$B:$B,$B193)</f>
        <v>21</v>
      </c>
      <c r="F193" s="12">
        <f>SUMIFS(Лист2!$D:$D,Лист2!$A:$A,$A193,Лист2!$B:$B,$B193)</f>
        <v>2054</v>
      </c>
      <c r="G193" s="12">
        <f>SUMIFS(Лист2!$E:$E,Лист2!$A:$A,$A193,Лист2!$B:$B,$B193)</f>
        <v>1883</v>
      </c>
      <c r="H193" s="12">
        <f t="shared" si="4"/>
        <v>151959.78571428571</v>
      </c>
      <c r="I193" s="44">
        <f t="shared" si="5"/>
        <v>20</v>
      </c>
      <c r="J193" s="31">
        <v>192</v>
      </c>
      <c r="K193" s="31" t="s">
        <v>56</v>
      </c>
    </row>
    <row r="194" spans="1:11" ht="14.25" customHeight="1" x14ac:dyDescent="0.35">
      <c r="A194" s="9">
        <v>43960</v>
      </c>
      <c r="B194" s="2" t="s">
        <v>17</v>
      </c>
      <c r="C194" s="10">
        <v>32239.5</v>
      </c>
      <c r="D194" s="10">
        <v>3084892.5</v>
      </c>
      <c r="E194" s="10">
        <f>SUMIFS(Лист2!$C:$C,Лист2!$A:$A,$A194,Лист2!$B:$B,$B194)</f>
        <v>21</v>
      </c>
      <c r="F194" s="10">
        <f>SUMIFS(Лист2!$D:$D,Лист2!$A:$A,$A194,Лист2!$B:$B,$B194)</f>
        <v>1891</v>
      </c>
      <c r="G194" s="10">
        <f>SUMIFS(Лист2!$E:$E,Лист2!$A:$A,$A194,Лист2!$B:$B,$B194)</f>
        <v>1709</v>
      </c>
      <c r="H194" s="10">
        <f t="shared" ref="H194:H257" si="6">IFERROR($D194/$E194,0)</f>
        <v>146899.64285714287</v>
      </c>
      <c r="I194" s="43">
        <f t="shared" ref="I194:I257" si="7">WEEKNUM($A194,21)</f>
        <v>19</v>
      </c>
      <c r="J194" s="30">
        <v>193</v>
      </c>
      <c r="K194" s="30" t="s">
        <v>55</v>
      </c>
    </row>
    <row r="195" spans="1:11" ht="14.25" customHeight="1" x14ac:dyDescent="0.35">
      <c r="A195" s="11">
        <v>43955</v>
      </c>
      <c r="B195" s="4" t="s">
        <v>17</v>
      </c>
      <c r="C195" s="12">
        <v>30780</v>
      </c>
      <c r="D195" s="12">
        <v>2817853.5</v>
      </c>
      <c r="E195" s="12">
        <f>SUMIFS(Лист2!$C:$C,Лист2!$A:$A,$A195,Лист2!$B:$B,$B195)</f>
        <v>20</v>
      </c>
      <c r="F195" s="12">
        <f>SUMIFS(Лист2!$D:$D,Лист2!$A:$A,$A195,Лист2!$B:$B,$B195)</f>
        <v>1804</v>
      </c>
      <c r="G195" s="12">
        <f>SUMIFS(Лист2!$E:$E,Лист2!$A:$A,$A195,Лист2!$B:$B,$B195)</f>
        <v>1638</v>
      </c>
      <c r="H195" s="12">
        <f t="shared" si="6"/>
        <v>140892.67499999999</v>
      </c>
      <c r="I195" s="44">
        <f t="shared" si="7"/>
        <v>19</v>
      </c>
      <c r="J195" s="31">
        <v>194</v>
      </c>
      <c r="K195" s="31" t="s">
        <v>55</v>
      </c>
    </row>
    <row r="196" spans="1:11" ht="14.25" customHeight="1" x14ac:dyDescent="0.35">
      <c r="A196" s="9">
        <v>43950</v>
      </c>
      <c r="B196" s="2" t="s">
        <v>17</v>
      </c>
      <c r="C196" s="10">
        <v>29142</v>
      </c>
      <c r="D196" s="10">
        <v>2627595</v>
      </c>
      <c r="E196" s="10">
        <f>SUMIFS(Лист2!$C:$C,Лист2!$A:$A,$A196,Лист2!$B:$B,$B196)</f>
        <v>19</v>
      </c>
      <c r="F196" s="10">
        <f>SUMIFS(Лист2!$D:$D,Лист2!$A:$A,$A196,Лист2!$B:$B,$B196)</f>
        <v>1676</v>
      </c>
      <c r="G196" s="10">
        <f>SUMIFS(Лист2!$E:$E,Лист2!$A:$A,$A196,Лист2!$B:$B,$B196)</f>
        <v>1516</v>
      </c>
      <c r="H196" s="10">
        <f t="shared" si="6"/>
        <v>138294.47368421053</v>
      </c>
      <c r="I196" s="43">
        <f t="shared" si="7"/>
        <v>18</v>
      </c>
      <c r="J196" s="30">
        <v>195</v>
      </c>
      <c r="K196" s="30" t="s">
        <v>54</v>
      </c>
    </row>
    <row r="197" spans="1:11" ht="14.25" customHeight="1" x14ac:dyDescent="0.35">
      <c r="A197" s="11">
        <v>43953</v>
      </c>
      <c r="B197" s="4" t="s">
        <v>17</v>
      </c>
      <c r="C197" s="12">
        <v>26428.5</v>
      </c>
      <c r="D197" s="12">
        <v>2470465.5</v>
      </c>
      <c r="E197" s="12">
        <f>SUMIFS(Лист2!$C:$C,Лист2!$A:$A,$A197,Лист2!$B:$B,$B197)</f>
        <v>20</v>
      </c>
      <c r="F197" s="12">
        <f>SUMIFS(Лист2!$D:$D,Лист2!$A:$A,$A197,Лист2!$B:$B,$B197)</f>
        <v>1613</v>
      </c>
      <c r="G197" s="12">
        <f>SUMIFS(Лист2!$E:$E,Лист2!$A:$A,$A197,Лист2!$B:$B,$B197)</f>
        <v>1457</v>
      </c>
      <c r="H197" s="12">
        <f t="shared" si="6"/>
        <v>123523.27499999999</v>
      </c>
      <c r="I197" s="44">
        <f t="shared" si="7"/>
        <v>18</v>
      </c>
      <c r="J197" s="31">
        <v>196</v>
      </c>
      <c r="K197" s="31" t="s">
        <v>54</v>
      </c>
    </row>
    <row r="198" spans="1:11" ht="14.25" customHeight="1" x14ac:dyDescent="0.35">
      <c r="A198" s="9">
        <v>43977</v>
      </c>
      <c r="B198" s="2" t="s">
        <v>17</v>
      </c>
      <c r="C198" s="10">
        <v>40744.5</v>
      </c>
      <c r="D198" s="10">
        <v>3700311</v>
      </c>
      <c r="E198" s="10">
        <f>SUMIFS(Лист2!$C:$C,Лист2!$A:$A,$A198,Лист2!$B:$B,$B198)</f>
        <v>21</v>
      </c>
      <c r="F198" s="10">
        <f>SUMIFS(Лист2!$D:$D,Лист2!$A:$A,$A198,Лист2!$B:$B,$B198)</f>
        <v>2418</v>
      </c>
      <c r="G198" s="10">
        <f>SUMIFS(Лист2!$E:$E,Лист2!$A:$A,$A198,Лист2!$B:$B,$B198)</f>
        <v>2215</v>
      </c>
      <c r="H198" s="10">
        <f t="shared" si="6"/>
        <v>176205.28571428571</v>
      </c>
      <c r="I198" s="43">
        <f t="shared" si="7"/>
        <v>22</v>
      </c>
      <c r="J198" s="30">
        <v>197</v>
      </c>
      <c r="K198" s="30" t="s">
        <v>58</v>
      </c>
    </row>
    <row r="199" spans="1:11" ht="14.25" customHeight="1" x14ac:dyDescent="0.35">
      <c r="A199" s="11">
        <v>43952</v>
      </c>
      <c r="B199" s="4" t="s">
        <v>17</v>
      </c>
      <c r="C199" s="12">
        <v>46620</v>
      </c>
      <c r="D199" s="12">
        <v>4293241.5</v>
      </c>
      <c r="E199" s="12">
        <f>SUMIFS(Лист2!$C:$C,Лист2!$A:$A,$A199,Лист2!$B:$B,$B199)</f>
        <v>20</v>
      </c>
      <c r="F199" s="12">
        <f>SUMIFS(Лист2!$D:$D,Лист2!$A:$A,$A199,Лист2!$B:$B,$B199)</f>
        <v>2468</v>
      </c>
      <c r="G199" s="12">
        <f>SUMIFS(Лист2!$E:$E,Лист2!$A:$A,$A199,Лист2!$B:$B,$B199)</f>
        <v>2221</v>
      </c>
      <c r="H199" s="12">
        <f t="shared" si="6"/>
        <v>214662.07500000001</v>
      </c>
      <c r="I199" s="44">
        <f t="shared" si="7"/>
        <v>18</v>
      </c>
      <c r="J199" s="31">
        <v>198</v>
      </c>
      <c r="K199" s="31" t="s">
        <v>54</v>
      </c>
    </row>
    <row r="200" spans="1:11" ht="14.25" customHeight="1" x14ac:dyDescent="0.35">
      <c r="A200" s="9">
        <v>43963</v>
      </c>
      <c r="B200" s="2" t="s">
        <v>17</v>
      </c>
      <c r="C200" s="10">
        <v>32419.5</v>
      </c>
      <c r="D200" s="10">
        <v>3080614.5</v>
      </c>
      <c r="E200" s="10">
        <f>SUMIFS(Лист2!$C:$C,Лист2!$A:$A,$A200,Лист2!$B:$B,$B200)</f>
        <v>21</v>
      </c>
      <c r="F200" s="10">
        <f>SUMIFS(Лист2!$D:$D,Лист2!$A:$A,$A200,Лист2!$B:$B,$B200)</f>
        <v>1926</v>
      </c>
      <c r="G200" s="10">
        <f>SUMIFS(Лист2!$E:$E,Лист2!$A:$A,$A200,Лист2!$B:$B,$B200)</f>
        <v>1745</v>
      </c>
      <c r="H200" s="10">
        <f t="shared" si="6"/>
        <v>146695.92857142858</v>
      </c>
      <c r="I200" s="43">
        <f t="shared" si="7"/>
        <v>20</v>
      </c>
      <c r="J200" s="30">
        <v>199</v>
      </c>
      <c r="K200" s="30" t="s">
        <v>56</v>
      </c>
    </row>
    <row r="201" spans="1:11" ht="14.25" customHeight="1" x14ac:dyDescent="0.35">
      <c r="A201" s="11">
        <v>43972</v>
      </c>
      <c r="B201" s="4" t="s">
        <v>17</v>
      </c>
      <c r="C201" s="12">
        <v>40819.5</v>
      </c>
      <c r="D201" s="12">
        <v>3810394.5</v>
      </c>
      <c r="E201" s="12">
        <f>SUMIFS(Лист2!$C:$C,Лист2!$A:$A,$A201,Лист2!$B:$B,$B201)</f>
        <v>21</v>
      </c>
      <c r="F201" s="12">
        <f>SUMIFS(Лист2!$D:$D,Лист2!$A:$A,$A201,Лист2!$B:$B,$B201)</f>
        <v>2335</v>
      </c>
      <c r="G201" s="12">
        <f>SUMIFS(Лист2!$E:$E,Лист2!$A:$A,$A201,Лист2!$B:$B,$B201)</f>
        <v>2126</v>
      </c>
      <c r="H201" s="12">
        <f t="shared" si="6"/>
        <v>181447.35714285713</v>
      </c>
      <c r="I201" s="44">
        <f t="shared" si="7"/>
        <v>21</v>
      </c>
      <c r="J201" s="31">
        <v>200</v>
      </c>
      <c r="K201" s="31" t="s">
        <v>57</v>
      </c>
    </row>
    <row r="202" spans="1:11" ht="14.25" customHeight="1" x14ac:dyDescent="0.35">
      <c r="A202" s="9">
        <v>43971</v>
      </c>
      <c r="B202" s="2" t="s">
        <v>17</v>
      </c>
      <c r="C202" s="10">
        <v>41391</v>
      </c>
      <c r="D202" s="10">
        <v>3918987</v>
      </c>
      <c r="E202" s="10">
        <f>SUMIFS(Лист2!$C:$C,Лист2!$A:$A,$A202,Лист2!$B:$B,$B202)</f>
        <v>21</v>
      </c>
      <c r="F202" s="10">
        <f>SUMIFS(Лист2!$D:$D,Лист2!$A:$A,$A202,Лист2!$B:$B,$B202)</f>
        <v>2410</v>
      </c>
      <c r="G202" s="10">
        <f>SUMIFS(Лист2!$E:$E,Лист2!$A:$A,$A202,Лист2!$B:$B,$B202)</f>
        <v>2202</v>
      </c>
      <c r="H202" s="10">
        <f t="shared" si="6"/>
        <v>186618.42857142858</v>
      </c>
      <c r="I202" s="43">
        <f t="shared" si="7"/>
        <v>21</v>
      </c>
      <c r="J202" s="30">
        <v>201</v>
      </c>
      <c r="K202" s="30" t="s">
        <v>57</v>
      </c>
    </row>
    <row r="203" spans="1:11" ht="14.25" customHeight="1" x14ac:dyDescent="0.35">
      <c r="A203" s="11">
        <v>43956</v>
      </c>
      <c r="B203" s="4" t="s">
        <v>17</v>
      </c>
      <c r="C203" s="12">
        <v>29482.5</v>
      </c>
      <c r="D203" s="12">
        <v>2648688</v>
      </c>
      <c r="E203" s="12">
        <f>SUMIFS(Лист2!$C:$C,Лист2!$A:$A,$A203,Лист2!$B:$B,$B203)</f>
        <v>20</v>
      </c>
      <c r="F203" s="12">
        <f>SUMIFS(Лист2!$D:$D,Лист2!$A:$A,$A203,Лист2!$B:$B,$B203)</f>
        <v>1757</v>
      </c>
      <c r="G203" s="12">
        <f>SUMIFS(Лист2!$E:$E,Лист2!$A:$A,$A203,Лист2!$B:$B,$B203)</f>
        <v>1596</v>
      </c>
      <c r="H203" s="12">
        <f t="shared" si="6"/>
        <v>132434.4</v>
      </c>
      <c r="I203" s="44">
        <f t="shared" si="7"/>
        <v>19</v>
      </c>
      <c r="J203" s="31">
        <v>202</v>
      </c>
      <c r="K203" s="31" t="s">
        <v>55</v>
      </c>
    </row>
    <row r="204" spans="1:11" ht="14.25" customHeight="1" x14ac:dyDescent="0.35">
      <c r="A204" s="9">
        <v>43949</v>
      </c>
      <c r="B204" s="2" t="s">
        <v>17</v>
      </c>
      <c r="C204" s="10">
        <v>32181</v>
      </c>
      <c r="D204" s="10">
        <v>2863600.5</v>
      </c>
      <c r="E204" s="10">
        <f>SUMIFS(Лист2!$C:$C,Лист2!$A:$A,$A204,Лист2!$B:$B,$B204)</f>
        <v>19</v>
      </c>
      <c r="F204" s="10">
        <f>SUMIFS(Лист2!$D:$D,Лист2!$A:$A,$A204,Лист2!$B:$B,$B204)</f>
        <v>1846</v>
      </c>
      <c r="G204" s="10">
        <f>SUMIFS(Лист2!$E:$E,Лист2!$A:$A,$A204,Лист2!$B:$B,$B204)</f>
        <v>1681</v>
      </c>
      <c r="H204" s="10">
        <f t="shared" si="6"/>
        <v>150715.81578947368</v>
      </c>
      <c r="I204" s="43">
        <f t="shared" si="7"/>
        <v>18</v>
      </c>
      <c r="J204" s="30">
        <v>203</v>
      </c>
      <c r="K204" s="30" t="s">
        <v>54</v>
      </c>
    </row>
    <row r="205" spans="1:11" ht="14.25" customHeight="1" x14ac:dyDescent="0.35">
      <c r="A205" s="11">
        <v>43964</v>
      </c>
      <c r="B205" s="4" t="s">
        <v>17</v>
      </c>
      <c r="C205" s="12">
        <v>35535</v>
      </c>
      <c r="D205" s="12">
        <v>3288069</v>
      </c>
      <c r="E205" s="12">
        <f>SUMIFS(Лист2!$C:$C,Лист2!$A:$A,$A205,Лист2!$B:$B,$B205)</f>
        <v>21</v>
      </c>
      <c r="F205" s="12">
        <f>SUMIFS(Лист2!$D:$D,Лист2!$A:$A,$A205,Лист2!$B:$B,$B205)</f>
        <v>2061</v>
      </c>
      <c r="G205" s="12">
        <f>SUMIFS(Лист2!$E:$E,Лист2!$A:$A,$A205,Лист2!$B:$B,$B205)</f>
        <v>1876</v>
      </c>
      <c r="H205" s="12">
        <f t="shared" si="6"/>
        <v>156574.71428571429</v>
      </c>
      <c r="I205" s="44">
        <f t="shared" si="7"/>
        <v>20</v>
      </c>
      <c r="J205" s="31">
        <v>204</v>
      </c>
      <c r="K205" s="31" t="s">
        <v>56</v>
      </c>
    </row>
    <row r="206" spans="1:11" ht="14.25" customHeight="1" x14ac:dyDescent="0.35">
      <c r="A206" s="9">
        <v>43982</v>
      </c>
      <c r="B206" s="2" t="s">
        <v>16</v>
      </c>
      <c r="C206" s="10">
        <v>76234.5</v>
      </c>
      <c r="D206" s="10">
        <v>6500848.5</v>
      </c>
      <c r="E206" s="10">
        <f>SUMIFS(Лист2!$C:$C,Лист2!$A:$A,$A206,Лист2!$B:$B,$B206)</f>
        <v>37</v>
      </c>
      <c r="F206" s="10">
        <f>SUMIFS(Лист2!$D:$D,Лист2!$A:$A,$A206,Лист2!$B:$B,$B206)</f>
        <v>5215</v>
      </c>
      <c r="G206" s="10">
        <f>SUMIFS(Лист2!$E:$E,Лист2!$A:$A,$A206,Лист2!$B:$B,$B206)</f>
        <v>4848</v>
      </c>
      <c r="H206" s="10">
        <f t="shared" si="6"/>
        <v>175698.60810810811</v>
      </c>
      <c r="I206" s="43">
        <f t="shared" si="7"/>
        <v>22</v>
      </c>
      <c r="J206" s="30">
        <v>205</v>
      </c>
      <c r="K206" s="30" t="s">
        <v>58</v>
      </c>
    </row>
    <row r="207" spans="1:11" ht="14.25" customHeight="1" x14ac:dyDescent="0.35">
      <c r="A207" s="11">
        <v>43954</v>
      </c>
      <c r="B207" s="4" t="s">
        <v>17</v>
      </c>
      <c r="C207" s="12">
        <v>29935.5</v>
      </c>
      <c r="D207" s="12">
        <v>2720002.5</v>
      </c>
      <c r="E207" s="12">
        <f>SUMIFS(Лист2!$C:$C,Лист2!$A:$A,$A207,Лист2!$B:$B,$B207)</f>
        <v>20</v>
      </c>
      <c r="F207" s="12">
        <f>SUMIFS(Лист2!$D:$D,Лист2!$A:$A,$A207,Лист2!$B:$B,$B207)</f>
        <v>1716</v>
      </c>
      <c r="G207" s="12">
        <f>SUMIFS(Лист2!$E:$E,Лист2!$A:$A,$A207,Лист2!$B:$B,$B207)</f>
        <v>1561</v>
      </c>
      <c r="H207" s="12">
        <f t="shared" si="6"/>
        <v>136000.125</v>
      </c>
      <c r="I207" s="44">
        <f t="shared" si="7"/>
        <v>18</v>
      </c>
      <c r="J207" s="31">
        <v>206</v>
      </c>
      <c r="K207" s="31" t="s">
        <v>54</v>
      </c>
    </row>
    <row r="208" spans="1:11" ht="14.25" customHeight="1" x14ac:dyDescent="0.35">
      <c r="A208" s="9">
        <v>43981</v>
      </c>
      <c r="B208" s="2" t="s">
        <v>16</v>
      </c>
      <c r="C208" s="10">
        <v>106926</v>
      </c>
      <c r="D208" s="10">
        <v>9098386.5</v>
      </c>
      <c r="E208" s="10">
        <f>SUMIFS(Лист2!$C:$C,Лист2!$A:$A,$A208,Лист2!$B:$B,$B208)</f>
        <v>37</v>
      </c>
      <c r="F208" s="10">
        <f>SUMIFS(Лист2!$D:$D,Лист2!$A:$A,$A208,Лист2!$B:$B,$B208)</f>
        <v>6645</v>
      </c>
      <c r="G208" s="10">
        <f>SUMIFS(Лист2!$E:$E,Лист2!$A:$A,$A208,Лист2!$B:$B,$B208)</f>
        <v>6122</v>
      </c>
      <c r="H208" s="10">
        <f t="shared" si="6"/>
        <v>245902.33783783784</v>
      </c>
      <c r="I208" s="43">
        <f t="shared" si="7"/>
        <v>22</v>
      </c>
      <c r="J208" s="30">
        <v>207</v>
      </c>
      <c r="K208" s="30" t="s">
        <v>58</v>
      </c>
    </row>
    <row r="209" spans="1:11" ht="14.25" customHeight="1" x14ac:dyDescent="0.35">
      <c r="A209" s="11">
        <v>43957</v>
      </c>
      <c r="B209" s="4" t="s">
        <v>17</v>
      </c>
      <c r="C209" s="12">
        <v>30342</v>
      </c>
      <c r="D209" s="12">
        <v>2738127</v>
      </c>
      <c r="E209" s="12">
        <f>SUMIFS(Лист2!$C:$C,Лист2!$A:$A,$A209,Лист2!$B:$B,$B209)</f>
        <v>20</v>
      </c>
      <c r="F209" s="12">
        <f>SUMIFS(Лист2!$D:$D,Лист2!$A:$A,$A209,Лист2!$B:$B,$B209)</f>
        <v>1747</v>
      </c>
      <c r="G209" s="12">
        <f>SUMIFS(Лист2!$E:$E,Лист2!$A:$A,$A209,Лист2!$B:$B,$B209)</f>
        <v>1570</v>
      </c>
      <c r="H209" s="12">
        <f t="shared" si="6"/>
        <v>136906.35</v>
      </c>
      <c r="I209" s="44">
        <f t="shared" si="7"/>
        <v>19</v>
      </c>
      <c r="J209" s="31">
        <v>208</v>
      </c>
      <c r="K209" s="31" t="s">
        <v>55</v>
      </c>
    </row>
    <row r="210" spans="1:11" ht="14.25" customHeight="1" x14ac:dyDescent="0.35">
      <c r="A210" s="9">
        <v>43974</v>
      </c>
      <c r="B210" s="2" t="s">
        <v>17</v>
      </c>
      <c r="C210" s="10">
        <v>42999</v>
      </c>
      <c r="D210" s="10">
        <v>3883215</v>
      </c>
      <c r="E210" s="10">
        <f>SUMIFS(Лист2!$C:$C,Лист2!$A:$A,$A210,Лист2!$B:$B,$B210)</f>
        <v>21</v>
      </c>
      <c r="F210" s="10">
        <f>SUMIFS(Лист2!$D:$D,Лист2!$A:$A,$A210,Лист2!$B:$B,$B210)</f>
        <v>2460</v>
      </c>
      <c r="G210" s="10">
        <f>SUMIFS(Лист2!$E:$E,Лист2!$A:$A,$A210,Лист2!$B:$B,$B210)</f>
        <v>2226</v>
      </c>
      <c r="H210" s="10">
        <f t="shared" si="6"/>
        <v>184915</v>
      </c>
      <c r="I210" s="43">
        <f t="shared" si="7"/>
        <v>21</v>
      </c>
      <c r="J210" s="30">
        <v>209</v>
      </c>
      <c r="K210" s="30" t="s">
        <v>57</v>
      </c>
    </row>
    <row r="211" spans="1:11" ht="14.25" customHeight="1" x14ac:dyDescent="0.35">
      <c r="A211" s="11">
        <v>43979</v>
      </c>
      <c r="B211" s="4" t="s">
        <v>16</v>
      </c>
      <c r="C211" s="12">
        <v>69945</v>
      </c>
      <c r="D211" s="12">
        <v>6101931</v>
      </c>
      <c r="E211" s="12">
        <f>SUMIFS(Лист2!$C:$C,Лист2!$A:$A,$A211,Лист2!$B:$B,$B211)</f>
        <v>37</v>
      </c>
      <c r="F211" s="12">
        <f>SUMIFS(Лист2!$D:$D,Лист2!$A:$A,$A211,Лист2!$B:$B,$B211)</f>
        <v>4840</v>
      </c>
      <c r="G211" s="12">
        <f>SUMIFS(Лист2!$E:$E,Лист2!$A:$A,$A211,Лист2!$B:$B,$B211)</f>
        <v>4475</v>
      </c>
      <c r="H211" s="12">
        <f t="shared" si="6"/>
        <v>164917.05405405405</v>
      </c>
      <c r="I211" s="44">
        <f t="shared" si="7"/>
        <v>22</v>
      </c>
      <c r="J211" s="31">
        <v>210</v>
      </c>
      <c r="K211" s="31" t="s">
        <v>58</v>
      </c>
    </row>
    <row r="212" spans="1:11" ht="14.25" customHeight="1" x14ac:dyDescent="0.35">
      <c r="A212" s="9">
        <v>43976</v>
      </c>
      <c r="B212" s="2" t="s">
        <v>17</v>
      </c>
      <c r="C212" s="10">
        <v>38740.5</v>
      </c>
      <c r="D212" s="10">
        <v>3561655.5</v>
      </c>
      <c r="E212" s="10">
        <f>SUMIFS(Лист2!$C:$C,Лист2!$A:$A,$A212,Лист2!$B:$B,$B212)</f>
        <v>21</v>
      </c>
      <c r="F212" s="10">
        <f>SUMIFS(Лист2!$D:$D,Лист2!$A:$A,$A212,Лист2!$B:$B,$B212)</f>
        <v>2330</v>
      </c>
      <c r="G212" s="10">
        <f>SUMIFS(Лист2!$E:$E,Лист2!$A:$A,$A212,Лист2!$B:$B,$B212)</f>
        <v>2142</v>
      </c>
      <c r="H212" s="10">
        <f t="shared" si="6"/>
        <v>169602.64285714287</v>
      </c>
      <c r="I212" s="43">
        <f t="shared" si="7"/>
        <v>22</v>
      </c>
      <c r="J212" s="30">
        <v>211</v>
      </c>
      <c r="K212" s="30" t="s">
        <v>58</v>
      </c>
    </row>
    <row r="213" spans="1:11" ht="14.25" customHeight="1" x14ac:dyDescent="0.35">
      <c r="A213" s="11">
        <v>43951</v>
      </c>
      <c r="B213" s="4" t="s">
        <v>17</v>
      </c>
      <c r="C213" s="12">
        <v>31231.5</v>
      </c>
      <c r="D213" s="12">
        <v>2853310.5</v>
      </c>
      <c r="E213" s="12">
        <f>SUMIFS(Лист2!$C:$C,Лист2!$A:$A,$A213,Лист2!$B:$B,$B213)</f>
        <v>20</v>
      </c>
      <c r="F213" s="12">
        <f>SUMIFS(Лист2!$D:$D,Лист2!$A:$A,$A213,Лист2!$B:$B,$B213)</f>
        <v>1756</v>
      </c>
      <c r="G213" s="12">
        <f>SUMIFS(Лист2!$E:$E,Лист2!$A:$A,$A213,Лист2!$B:$B,$B213)</f>
        <v>1586</v>
      </c>
      <c r="H213" s="12">
        <f t="shared" si="6"/>
        <v>142665.52499999999</v>
      </c>
      <c r="I213" s="44">
        <f t="shared" si="7"/>
        <v>18</v>
      </c>
      <c r="J213" s="31">
        <v>212</v>
      </c>
      <c r="K213" s="31" t="s">
        <v>54</v>
      </c>
    </row>
    <row r="214" spans="1:11" ht="14.25" customHeight="1" x14ac:dyDescent="0.35">
      <c r="A214" s="9">
        <v>43961</v>
      </c>
      <c r="B214" s="2" t="s">
        <v>17</v>
      </c>
      <c r="C214" s="10">
        <v>37489.5</v>
      </c>
      <c r="D214" s="10">
        <v>3549097.5</v>
      </c>
      <c r="E214" s="10">
        <f>SUMIFS(Лист2!$C:$C,Лист2!$A:$A,$A214,Лист2!$B:$B,$B214)</f>
        <v>21</v>
      </c>
      <c r="F214" s="10">
        <f>SUMIFS(Лист2!$D:$D,Лист2!$A:$A,$A214,Лист2!$B:$B,$B214)</f>
        <v>2120</v>
      </c>
      <c r="G214" s="10">
        <f>SUMIFS(Лист2!$E:$E,Лист2!$A:$A,$A214,Лист2!$B:$B,$B214)</f>
        <v>1921</v>
      </c>
      <c r="H214" s="10">
        <f t="shared" si="6"/>
        <v>169004.64285714287</v>
      </c>
      <c r="I214" s="43">
        <f t="shared" si="7"/>
        <v>19</v>
      </c>
      <c r="J214" s="30">
        <v>213</v>
      </c>
      <c r="K214" s="30" t="s">
        <v>55</v>
      </c>
    </row>
    <row r="215" spans="1:11" ht="14.25" customHeight="1" x14ac:dyDescent="0.35">
      <c r="A215" s="11">
        <v>43959</v>
      </c>
      <c r="B215" s="4" t="s">
        <v>17</v>
      </c>
      <c r="C215" s="12">
        <v>34399.5</v>
      </c>
      <c r="D215" s="12">
        <v>3201358.5</v>
      </c>
      <c r="E215" s="12">
        <f>SUMIFS(Лист2!$C:$C,Лист2!$A:$A,$A215,Лист2!$B:$B,$B215)</f>
        <v>21</v>
      </c>
      <c r="F215" s="12">
        <f>SUMIFS(Лист2!$D:$D,Лист2!$A:$A,$A215,Лист2!$B:$B,$B215)</f>
        <v>1957</v>
      </c>
      <c r="G215" s="12">
        <f>SUMIFS(Лист2!$E:$E,Лист2!$A:$A,$A215,Лист2!$B:$B,$B215)</f>
        <v>1755</v>
      </c>
      <c r="H215" s="12">
        <f t="shared" si="6"/>
        <v>152445.64285714287</v>
      </c>
      <c r="I215" s="44">
        <f t="shared" si="7"/>
        <v>19</v>
      </c>
      <c r="J215" s="31">
        <v>214</v>
      </c>
      <c r="K215" s="31" t="s">
        <v>55</v>
      </c>
    </row>
    <row r="216" spans="1:11" ht="14.25" customHeight="1" x14ac:dyDescent="0.35">
      <c r="A216" s="9">
        <v>43958</v>
      </c>
      <c r="B216" s="2" t="s">
        <v>17</v>
      </c>
      <c r="C216" s="10">
        <v>32851.5</v>
      </c>
      <c r="D216" s="10">
        <v>2934504</v>
      </c>
      <c r="E216" s="10">
        <f>SUMIFS(Лист2!$C:$C,Лист2!$A:$A,$A216,Лист2!$B:$B,$B216)</f>
        <v>21</v>
      </c>
      <c r="F216" s="10">
        <f>SUMIFS(Лист2!$D:$D,Лист2!$A:$A,$A216,Лист2!$B:$B,$B216)</f>
        <v>1879</v>
      </c>
      <c r="G216" s="10">
        <f>SUMIFS(Лист2!$E:$E,Лист2!$A:$A,$A216,Лист2!$B:$B,$B216)</f>
        <v>1695</v>
      </c>
      <c r="H216" s="10">
        <f t="shared" si="6"/>
        <v>139738.28571428571</v>
      </c>
      <c r="I216" s="43">
        <f t="shared" si="7"/>
        <v>19</v>
      </c>
      <c r="J216" s="30">
        <v>215</v>
      </c>
      <c r="K216" s="30" t="s">
        <v>55</v>
      </c>
    </row>
    <row r="217" spans="1:11" ht="14.25" customHeight="1" x14ac:dyDescent="0.35">
      <c r="A217" s="11">
        <v>43975</v>
      </c>
      <c r="B217" s="4" t="s">
        <v>17</v>
      </c>
      <c r="C217" s="12">
        <v>38194.5</v>
      </c>
      <c r="D217" s="12">
        <v>3449302.5</v>
      </c>
      <c r="E217" s="12">
        <f>SUMIFS(Лист2!$C:$C,Лист2!$A:$A,$A217,Лист2!$B:$B,$B217)</f>
        <v>21</v>
      </c>
      <c r="F217" s="12">
        <f>SUMIFS(Лист2!$D:$D,Лист2!$A:$A,$A217,Лист2!$B:$B,$B217)</f>
        <v>2254</v>
      </c>
      <c r="G217" s="12">
        <f>SUMIFS(Лист2!$E:$E,Лист2!$A:$A,$A217,Лист2!$B:$B,$B217)</f>
        <v>2061</v>
      </c>
      <c r="H217" s="12">
        <f t="shared" si="6"/>
        <v>164252.5</v>
      </c>
      <c r="I217" s="44">
        <f t="shared" si="7"/>
        <v>21</v>
      </c>
      <c r="J217" s="31">
        <v>216</v>
      </c>
      <c r="K217" s="31" t="s">
        <v>57</v>
      </c>
    </row>
    <row r="218" spans="1:11" ht="14.25" customHeight="1" x14ac:dyDescent="0.35">
      <c r="A218" s="9">
        <v>43982</v>
      </c>
      <c r="B218" s="2" t="s">
        <v>17</v>
      </c>
      <c r="C218" s="10">
        <v>42423</v>
      </c>
      <c r="D218" s="10">
        <v>3994153.5</v>
      </c>
      <c r="E218" s="10">
        <f>SUMIFS(Лист2!$C:$C,Лист2!$A:$A,$A218,Лист2!$B:$B,$B218)</f>
        <v>23</v>
      </c>
      <c r="F218" s="10">
        <f>SUMIFS(Лист2!$D:$D,Лист2!$A:$A,$A218,Лист2!$B:$B,$B218)</f>
        <v>2522</v>
      </c>
      <c r="G218" s="10">
        <f>SUMIFS(Лист2!$E:$E,Лист2!$A:$A,$A218,Лист2!$B:$B,$B218)</f>
        <v>2295</v>
      </c>
      <c r="H218" s="10">
        <f t="shared" si="6"/>
        <v>173658.84782608695</v>
      </c>
      <c r="I218" s="43">
        <f t="shared" si="7"/>
        <v>22</v>
      </c>
      <c r="J218" s="30">
        <v>217</v>
      </c>
      <c r="K218" s="30" t="s">
        <v>58</v>
      </c>
    </row>
    <row r="219" spans="1:11" ht="14.25" customHeight="1" x14ac:dyDescent="0.35">
      <c r="A219" s="11">
        <v>43981</v>
      </c>
      <c r="B219" s="4" t="s">
        <v>17</v>
      </c>
      <c r="C219" s="12">
        <v>48286.5</v>
      </c>
      <c r="D219" s="12">
        <v>4456441.5</v>
      </c>
      <c r="E219" s="12">
        <f>SUMIFS(Лист2!$C:$C,Лист2!$A:$A,$A219,Лист2!$B:$B,$B219)</f>
        <v>22</v>
      </c>
      <c r="F219" s="12">
        <f>SUMIFS(Лист2!$D:$D,Лист2!$A:$A,$A219,Лист2!$B:$B,$B219)</f>
        <v>2793</v>
      </c>
      <c r="G219" s="12">
        <f>SUMIFS(Лист2!$E:$E,Лист2!$A:$A,$A219,Лист2!$B:$B,$B219)</f>
        <v>2539</v>
      </c>
      <c r="H219" s="12">
        <f t="shared" si="6"/>
        <v>202565.52272727274</v>
      </c>
      <c r="I219" s="44">
        <f t="shared" si="7"/>
        <v>22</v>
      </c>
      <c r="J219" s="31">
        <v>218</v>
      </c>
      <c r="K219" s="31" t="s">
        <v>58</v>
      </c>
    </row>
    <row r="220" spans="1:11" ht="14.25" customHeight="1" x14ac:dyDescent="0.35">
      <c r="A220" s="9">
        <v>43979</v>
      </c>
      <c r="B220" s="2" t="s">
        <v>17</v>
      </c>
      <c r="C220" s="10">
        <v>41442</v>
      </c>
      <c r="D220" s="10">
        <v>3893680.5</v>
      </c>
      <c r="E220" s="10">
        <f>SUMIFS(Лист2!$C:$C,Лист2!$A:$A,$A220,Лист2!$B:$B,$B220)</f>
        <v>22</v>
      </c>
      <c r="F220" s="10">
        <f>SUMIFS(Лист2!$D:$D,Лист2!$A:$A,$A220,Лист2!$B:$B,$B220)</f>
        <v>2454</v>
      </c>
      <c r="G220" s="10">
        <f>SUMIFS(Лист2!$E:$E,Лист2!$A:$A,$A220,Лист2!$B:$B,$B220)</f>
        <v>2239</v>
      </c>
      <c r="H220" s="10">
        <f t="shared" si="6"/>
        <v>176985.47727272726</v>
      </c>
      <c r="I220" s="43">
        <f t="shared" si="7"/>
        <v>22</v>
      </c>
      <c r="J220" s="30">
        <v>219</v>
      </c>
      <c r="K220" s="30" t="s">
        <v>58</v>
      </c>
    </row>
    <row r="221" spans="1:11" ht="14.25" customHeight="1" x14ac:dyDescent="0.35">
      <c r="A221" s="11">
        <v>43967</v>
      </c>
      <c r="B221" s="4" t="s">
        <v>18</v>
      </c>
      <c r="C221" s="12">
        <v>18600</v>
      </c>
      <c r="D221" s="12">
        <v>1601425.5</v>
      </c>
      <c r="E221" s="12">
        <f>SUMIFS(Лист2!$C:$C,Лист2!$A:$A,$A221,Лист2!$B:$B,$B221)</f>
        <v>15</v>
      </c>
      <c r="F221" s="12">
        <f>SUMIFS(Лист2!$D:$D,Лист2!$A:$A,$A221,Лист2!$B:$B,$B221)</f>
        <v>1111</v>
      </c>
      <c r="G221" s="12">
        <f>SUMIFS(Лист2!$E:$E,Лист2!$A:$A,$A221,Лист2!$B:$B,$B221)</f>
        <v>992</v>
      </c>
      <c r="H221" s="12">
        <f t="shared" si="6"/>
        <v>106761.7</v>
      </c>
      <c r="I221" s="44">
        <f t="shared" si="7"/>
        <v>20</v>
      </c>
      <c r="J221" s="31">
        <v>220</v>
      </c>
      <c r="K221" s="31" t="s">
        <v>56</v>
      </c>
    </row>
    <row r="222" spans="1:11" ht="14.25" customHeight="1" x14ac:dyDescent="0.35">
      <c r="A222" s="9">
        <v>43970</v>
      </c>
      <c r="B222" s="2" t="s">
        <v>18</v>
      </c>
      <c r="C222" s="10">
        <v>16638</v>
      </c>
      <c r="D222" s="10">
        <v>1364847</v>
      </c>
      <c r="E222" s="10">
        <f>SUMIFS(Лист2!$C:$C,Лист2!$A:$A,$A222,Лист2!$B:$B,$B222)</f>
        <v>16</v>
      </c>
      <c r="F222" s="10">
        <f>SUMIFS(Лист2!$D:$D,Лист2!$A:$A,$A222,Лист2!$B:$B,$B222)</f>
        <v>1012</v>
      </c>
      <c r="G222" s="10">
        <f>SUMIFS(Лист2!$E:$E,Лист2!$A:$A,$A222,Лист2!$B:$B,$B222)</f>
        <v>900</v>
      </c>
      <c r="H222" s="10">
        <f t="shared" si="6"/>
        <v>85302.9375</v>
      </c>
      <c r="I222" s="43">
        <f t="shared" si="7"/>
        <v>21</v>
      </c>
      <c r="J222" s="30">
        <v>221</v>
      </c>
      <c r="K222" s="30" t="s">
        <v>57</v>
      </c>
    </row>
    <row r="223" spans="1:11" ht="14.25" customHeight="1" x14ac:dyDescent="0.35">
      <c r="A223" s="11">
        <v>43968</v>
      </c>
      <c r="B223" s="4" t="s">
        <v>18</v>
      </c>
      <c r="C223" s="12">
        <v>15609</v>
      </c>
      <c r="D223" s="12">
        <v>1377577.5</v>
      </c>
      <c r="E223" s="12">
        <f>SUMIFS(Лист2!$C:$C,Лист2!$A:$A,$A223,Лист2!$B:$B,$B223)</f>
        <v>15</v>
      </c>
      <c r="F223" s="12">
        <f>SUMIFS(Лист2!$D:$D,Лист2!$A:$A,$A223,Лист2!$B:$B,$B223)</f>
        <v>971</v>
      </c>
      <c r="G223" s="12">
        <f>SUMIFS(Лист2!$E:$E,Лист2!$A:$A,$A223,Лист2!$B:$B,$B223)</f>
        <v>856</v>
      </c>
      <c r="H223" s="12">
        <f t="shared" si="6"/>
        <v>91838.5</v>
      </c>
      <c r="I223" s="44">
        <f t="shared" si="7"/>
        <v>20</v>
      </c>
      <c r="J223" s="31">
        <v>222</v>
      </c>
      <c r="K223" s="31" t="s">
        <v>56</v>
      </c>
    </row>
    <row r="224" spans="1:11" ht="14.25" customHeight="1" x14ac:dyDescent="0.35">
      <c r="A224" s="9">
        <v>43960</v>
      </c>
      <c r="B224" s="2" t="s">
        <v>18</v>
      </c>
      <c r="C224" s="10">
        <v>13948.5</v>
      </c>
      <c r="D224" s="10">
        <v>1222932</v>
      </c>
      <c r="E224" s="10">
        <f>SUMIFS(Лист2!$C:$C,Лист2!$A:$A,$A224,Лист2!$B:$B,$B224)</f>
        <v>15</v>
      </c>
      <c r="F224" s="10">
        <f>SUMIFS(Лист2!$D:$D,Лист2!$A:$A,$A224,Лист2!$B:$B,$B224)</f>
        <v>849</v>
      </c>
      <c r="G224" s="10">
        <f>SUMIFS(Лист2!$E:$E,Лист2!$A:$A,$A224,Лист2!$B:$B,$B224)</f>
        <v>740</v>
      </c>
      <c r="H224" s="10">
        <f t="shared" si="6"/>
        <v>81528.800000000003</v>
      </c>
      <c r="I224" s="43">
        <f t="shared" si="7"/>
        <v>19</v>
      </c>
      <c r="J224" s="30">
        <v>223</v>
      </c>
      <c r="K224" s="30" t="s">
        <v>55</v>
      </c>
    </row>
    <row r="225" spans="1:11" ht="14.25" customHeight="1" x14ac:dyDescent="0.35">
      <c r="A225" s="11">
        <v>43955</v>
      </c>
      <c r="B225" s="4" t="s">
        <v>18</v>
      </c>
      <c r="C225" s="12">
        <v>12301.5</v>
      </c>
      <c r="D225" s="12">
        <v>1085211</v>
      </c>
      <c r="E225" s="12">
        <f>SUMIFS(Лист2!$C:$C,Лист2!$A:$A,$A225,Лист2!$B:$B,$B225)</f>
        <v>15</v>
      </c>
      <c r="F225" s="12">
        <f>SUMIFS(Лист2!$D:$D,Лист2!$A:$A,$A225,Лист2!$B:$B,$B225)</f>
        <v>750</v>
      </c>
      <c r="G225" s="12">
        <f>SUMIFS(Лист2!$E:$E,Лист2!$A:$A,$A225,Лист2!$B:$B,$B225)</f>
        <v>647</v>
      </c>
      <c r="H225" s="12">
        <f t="shared" si="6"/>
        <v>72347.399999999994</v>
      </c>
      <c r="I225" s="44">
        <f t="shared" si="7"/>
        <v>19</v>
      </c>
      <c r="J225" s="31">
        <v>224</v>
      </c>
      <c r="K225" s="31" t="s">
        <v>55</v>
      </c>
    </row>
    <row r="226" spans="1:11" ht="14.25" customHeight="1" x14ac:dyDescent="0.35">
      <c r="A226" s="9">
        <v>43950</v>
      </c>
      <c r="B226" s="2" t="s">
        <v>18</v>
      </c>
      <c r="C226" s="10">
        <v>13014</v>
      </c>
      <c r="D226" s="10">
        <v>1115992.5</v>
      </c>
      <c r="E226" s="10">
        <f>SUMIFS(Лист2!$C:$C,Лист2!$A:$A,$A226,Лист2!$B:$B,$B226)</f>
        <v>15</v>
      </c>
      <c r="F226" s="10">
        <f>SUMIFS(Лист2!$D:$D,Лист2!$A:$A,$A226,Лист2!$B:$B,$B226)</f>
        <v>786</v>
      </c>
      <c r="G226" s="10">
        <f>SUMIFS(Лист2!$E:$E,Лист2!$A:$A,$A226,Лист2!$B:$B,$B226)</f>
        <v>695</v>
      </c>
      <c r="H226" s="10">
        <f t="shared" si="6"/>
        <v>74399.5</v>
      </c>
      <c r="I226" s="43">
        <f t="shared" si="7"/>
        <v>18</v>
      </c>
      <c r="J226" s="30">
        <v>225</v>
      </c>
      <c r="K226" s="30" t="s">
        <v>54</v>
      </c>
    </row>
    <row r="227" spans="1:11" ht="14.25" customHeight="1" x14ac:dyDescent="0.35">
      <c r="A227" s="11">
        <v>43953</v>
      </c>
      <c r="B227" s="4" t="s">
        <v>18</v>
      </c>
      <c r="C227" s="12">
        <v>12313.5</v>
      </c>
      <c r="D227" s="12">
        <v>1053220.5</v>
      </c>
      <c r="E227" s="12">
        <f>SUMIFS(Лист2!$C:$C,Лист2!$A:$A,$A227,Лист2!$B:$B,$B227)</f>
        <v>15</v>
      </c>
      <c r="F227" s="12">
        <f>SUMIFS(Лист2!$D:$D,Лист2!$A:$A,$A227,Лист2!$B:$B,$B227)</f>
        <v>751</v>
      </c>
      <c r="G227" s="12">
        <f>SUMIFS(Лист2!$E:$E,Лист2!$A:$A,$A227,Лист2!$B:$B,$B227)</f>
        <v>651</v>
      </c>
      <c r="H227" s="12">
        <f t="shared" si="6"/>
        <v>70214.7</v>
      </c>
      <c r="I227" s="44">
        <f t="shared" si="7"/>
        <v>18</v>
      </c>
      <c r="J227" s="31">
        <v>226</v>
      </c>
      <c r="K227" s="31" t="s">
        <v>54</v>
      </c>
    </row>
    <row r="228" spans="1:11" ht="14.25" customHeight="1" x14ac:dyDescent="0.35">
      <c r="A228" s="9">
        <v>43977</v>
      </c>
      <c r="B228" s="2" t="s">
        <v>18</v>
      </c>
      <c r="C228" s="10">
        <v>17391</v>
      </c>
      <c r="D228" s="10">
        <v>1489132.5</v>
      </c>
      <c r="E228" s="10">
        <f>SUMIFS(Лист2!$C:$C,Лист2!$A:$A,$A228,Лист2!$B:$B,$B228)</f>
        <v>17</v>
      </c>
      <c r="F228" s="10">
        <f>SUMIFS(Лист2!$D:$D,Лист2!$A:$A,$A228,Лист2!$B:$B,$B228)</f>
        <v>1140</v>
      </c>
      <c r="G228" s="10">
        <f>SUMIFS(Лист2!$E:$E,Лист2!$A:$A,$A228,Лист2!$B:$B,$B228)</f>
        <v>1016</v>
      </c>
      <c r="H228" s="10">
        <f t="shared" si="6"/>
        <v>87596.029411764699</v>
      </c>
      <c r="I228" s="43">
        <f t="shared" si="7"/>
        <v>22</v>
      </c>
      <c r="J228" s="30">
        <v>227</v>
      </c>
      <c r="K228" s="30" t="s">
        <v>58</v>
      </c>
    </row>
    <row r="229" spans="1:11" ht="14.25" customHeight="1" x14ac:dyDescent="0.35">
      <c r="A229" s="11">
        <v>43952</v>
      </c>
      <c r="B229" s="4" t="s">
        <v>18</v>
      </c>
      <c r="C229" s="12">
        <v>17113.5</v>
      </c>
      <c r="D229" s="12">
        <v>1465842</v>
      </c>
      <c r="E229" s="12">
        <f>SUMIFS(Лист2!$C:$C,Лист2!$A:$A,$A229,Лист2!$B:$B,$B229)</f>
        <v>15</v>
      </c>
      <c r="F229" s="12">
        <f>SUMIFS(Лист2!$D:$D,Лист2!$A:$A,$A229,Лист2!$B:$B,$B229)</f>
        <v>996</v>
      </c>
      <c r="G229" s="12">
        <f>SUMIFS(Лист2!$E:$E,Лист2!$A:$A,$A229,Лист2!$B:$B,$B229)</f>
        <v>888</v>
      </c>
      <c r="H229" s="12">
        <f t="shared" si="6"/>
        <v>97722.8</v>
      </c>
      <c r="I229" s="44">
        <f t="shared" si="7"/>
        <v>18</v>
      </c>
      <c r="J229" s="31">
        <v>228</v>
      </c>
      <c r="K229" s="31" t="s">
        <v>54</v>
      </c>
    </row>
    <row r="230" spans="1:11" ht="14.25" customHeight="1" x14ac:dyDescent="0.35">
      <c r="A230" s="9">
        <v>43963</v>
      </c>
      <c r="B230" s="2" t="s">
        <v>18</v>
      </c>
      <c r="C230" s="10">
        <v>12802.5</v>
      </c>
      <c r="D230" s="10">
        <v>1123830</v>
      </c>
      <c r="E230" s="10">
        <f>SUMIFS(Лист2!$C:$C,Лист2!$A:$A,$A230,Лист2!$B:$B,$B230)</f>
        <v>15</v>
      </c>
      <c r="F230" s="10">
        <f>SUMIFS(Лист2!$D:$D,Лист2!$A:$A,$A230,Лист2!$B:$B,$B230)</f>
        <v>845</v>
      </c>
      <c r="G230" s="10">
        <f>SUMIFS(Лист2!$E:$E,Лист2!$A:$A,$A230,Лист2!$B:$B,$B230)</f>
        <v>743</v>
      </c>
      <c r="H230" s="10">
        <f t="shared" si="6"/>
        <v>74922</v>
      </c>
      <c r="I230" s="43">
        <f t="shared" si="7"/>
        <v>20</v>
      </c>
      <c r="J230" s="30">
        <v>229</v>
      </c>
      <c r="K230" s="30" t="s">
        <v>56</v>
      </c>
    </row>
    <row r="231" spans="1:11" ht="14.25" customHeight="1" x14ac:dyDescent="0.35">
      <c r="A231" s="11">
        <v>43972</v>
      </c>
      <c r="B231" s="4" t="s">
        <v>18</v>
      </c>
      <c r="C231" s="12">
        <v>16554</v>
      </c>
      <c r="D231" s="12">
        <v>1380751.5</v>
      </c>
      <c r="E231" s="12">
        <f>SUMIFS(Лист2!$C:$C,Лист2!$A:$A,$A231,Лист2!$B:$B,$B231)</f>
        <v>17</v>
      </c>
      <c r="F231" s="12">
        <f>SUMIFS(Лист2!$D:$D,Лист2!$A:$A,$A231,Лист2!$B:$B,$B231)</f>
        <v>1045</v>
      </c>
      <c r="G231" s="12">
        <f>SUMIFS(Лист2!$E:$E,Лист2!$A:$A,$A231,Лист2!$B:$B,$B231)</f>
        <v>930</v>
      </c>
      <c r="H231" s="12">
        <f t="shared" si="6"/>
        <v>81220.676470588238</v>
      </c>
      <c r="I231" s="44">
        <f t="shared" si="7"/>
        <v>21</v>
      </c>
      <c r="J231" s="31">
        <v>230</v>
      </c>
      <c r="K231" s="31" t="s">
        <v>57</v>
      </c>
    </row>
    <row r="232" spans="1:11" ht="14.25" customHeight="1" x14ac:dyDescent="0.35">
      <c r="A232" s="9">
        <v>43971</v>
      </c>
      <c r="B232" s="2" t="s">
        <v>18</v>
      </c>
      <c r="C232" s="10">
        <v>17329.5</v>
      </c>
      <c r="D232" s="10">
        <v>1430254.5</v>
      </c>
      <c r="E232" s="10">
        <f>SUMIFS(Лист2!$C:$C,Лист2!$A:$A,$A232,Лист2!$B:$B,$B232)</f>
        <v>16</v>
      </c>
      <c r="F232" s="10">
        <f>SUMIFS(Лист2!$D:$D,Лист2!$A:$A,$A232,Лист2!$B:$B,$B232)</f>
        <v>1050</v>
      </c>
      <c r="G232" s="10">
        <f>SUMIFS(Лист2!$E:$E,Лист2!$A:$A,$A232,Лист2!$B:$B,$B232)</f>
        <v>938</v>
      </c>
      <c r="H232" s="10">
        <f t="shared" si="6"/>
        <v>89390.90625</v>
      </c>
      <c r="I232" s="43">
        <f t="shared" si="7"/>
        <v>21</v>
      </c>
      <c r="J232" s="30">
        <v>231</v>
      </c>
      <c r="K232" s="30" t="s">
        <v>57</v>
      </c>
    </row>
    <row r="233" spans="1:11" ht="14.25" customHeight="1" x14ac:dyDescent="0.35">
      <c r="A233" s="11">
        <v>43956</v>
      </c>
      <c r="B233" s="4" t="s">
        <v>18</v>
      </c>
      <c r="C233" s="12">
        <v>15987</v>
      </c>
      <c r="D233" s="12">
        <v>1384179</v>
      </c>
      <c r="E233" s="12">
        <f>SUMIFS(Лист2!$C:$C,Лист2!$A:$A,$A233,Лист2!$B:$B,$B233)</f>
        <v>15</v>
      </c>
      <c r="F233" s="12">
        <f>SUMIFS(Лист2!$D:$D,Лист2!$A:$A,$A233,Лист2!$B:$B,$B233)</f>
        <v>922</v>
      </c>
      <c r="G233" s="12">
        <f>SUMIFS(Лист2!$E:$E,Лист2!$A:$A,$A233,Лист2!$B:$B,$B233)</f>
        <v>823</v>
      </c>
      <c r="H233" s="12">
        <f t="shared" si="6"/>
        <v>92278.6</v>
      </c>
      <c r="I233" s="44">
        <f t="shared" si="7"/>
        <v>19</v>
      </c>
      <c r="J233" s="31">
        <v>232</v>
      </c>
      <c r="K233" s="31" t="s">
        <v>55</v>
      </c>
    </row>
    <row r="234" spans="1:11" ht="14.25" customHeight="1" x14ac:dyDescent="0.35">
      <c r="A234" s="9">
        <v>43949</v>
      </c>
      <c r="B234" s="2" t="s">
        <v>18</v>
      </c>
      <c r="C234" s="10">
        <v>13303.5</v>
      </c>
      <c r="D234" s="10">
        <v>1102887</v>
      </c>
      <c r="E234" s="10">
        <f>SUMIFS(Лист2!$C:$C,Лист2!$A:$A,$A234,Лист2!$B:$B,$B234)</f>
        <v>15</v>
      </c>
      <c r="F234" s="10">
        <f>SUMIFS(Лист2!$D:$D,Лист2!$A:$A,$A234,Лист2!$B:$B,$B234)</f>
        <v>780</v>
      </c>
      <c r="G234" s="10">
        <f>SUMIFS(Лист2!$E:$E,Лист2!$A:$A,$A234,Лист2!$B:$B,$B234)</f>
        <v>690</v>
      </c>
      <c r="H234" s="10">
        <f t="shared" si="6"/>
        <v>73525.8</v>
      </c>
      <c r="I234" s="43">
        <f t="shared" si="7"/>
        <v>18</v>
      </c>
      <c r="J234" s="30">
        <v>233</v>
      </c>
      <c r="K234" s="30" t="s">
        <v>54</v>
      </c>
    </row>
    <row r="235" spans="1:11" ht="14.25" customHeight="1" x14ac:dyDescent="0.35">
      <c r="A235" s="11">
        <v>43964</v>
      </c>
      <c r="B235" s="4" t="s">
        <v>18</v>
      </c>
      <c r="C235" s="12">
        <v>14305.5</v>
      </c>
      <c r="D235" s="12">
        <v>1243507.5</v>
      </c>
      <c r="E235" s="12">
        <f>SUMIFS(Лист2!$C:$C,Лист2!$A:$A,$A235,Лист2!$B:$B,$B235)</f>
        <v>15</v>
      </c>
      <c r="F235" s="12">
        <f>SUMIFS(Лист2!$D:$D,Лист2!$A:$A,$A235,Лист2!$B:$B,$B235)</f>
        <v>898</v>
      </c>
      <c r="G235" s="12">
        <f>SUMIFS(Лист2!$E:$E,Лист2!$A:$A,$A235,Лист2!$B:$B,$B235)</f>
        <v>795</v>
      </c>
      <c r="H235" s="12">
        <f t="shared" si="6"/>
        <v>82900.5</v>
      </c>
      <c r="I235" s="44">
        <f t="shared" si="7"/>
        <v>20</v>
      </c>
      <c r="J235" s="31">
        <v>234</v>
      </c>
      <c r="K235" s="31" t="s">
        <v>56</v>
      </c>
    </row>
    <row r="236" spans="1:11" ht="14.25" customHeight="1" x14ac:dyDescent="0.35">
      <c r="A236" s="9">
        <v>43954</v>
      </c>
      <c r="B236" s="2" t="s">
        <v>18</v>
      </c>
      <c r="C236" s="10">
        <v>12924</v>
      </c>
      <c r="D236" s="10">
        <v>1120009.5</v>
      </c>
      <c r="E236" s="10">
        <f>SUMIFS(Лист2!$C:$C,Лист2!$A:$A,$A236,Лист2!$B:$B,$B236)</f>
        <v>15</v>
      </c>
      <c r="F236" s="10">
        <f>SUMIFS(Лист2!$D:$D,Лист2!$A:$A,$A236,Лист2!$B:$B,$B236)</f>
        <v>784</v>
      </c>
      <c r="G236" s="10">
        <f>SUMIFS(Лист2!$E:$E,Лист2!$A:$A,$A236,Лист2!$B:$B,$B236)</f>
        <v>696</v>
      </c>
      <c r="H236" s="10">
        <f t="shared" si="6"/>
        <v>74667.3</v>
      </c>
      <c r="I236" s="43">
        <f t="shared" si="7"/>
        <v>18</v>
      </c>
      <c r="J236" s="30">
        <v>235</v>
      </c>
      <c r="K236" s="30" t="s">
        <v>54</v>
      </c>
    </row>
    <row r="237" spans="1:11" ht="14.25" customHeight="1" x14ac:dyDescent="0.35">
      <c r="A237" s="11">
        <v>43957</v>
      </c>
      <c r="B237" s="4" t="s">
        <v>18</v>
      </c>
      <c r="C237" s="12">
        <v>14061</v>
      </c>
      <c r="D237" s="12">
        <v>1221057</v>
      </c>
      <c r="E237" s="12">
        <f>SUMIFS(Лист2!$C:$C,Лист2!$A:$A,$A237,Лист2!$B:$B,$B237)</f>
        <v>15</v>
      </c>
      <c r="F237" s="12">
        <f>SUMIFS(Лист2!$D:$D,Лист2!$A:$A,$A237,Лист2!$B:$B,$B237)</f>
        <v>839</v>
      </c>
      <c r="G237" s="12">
        <f>SUMIFS(Лист2!$E:$E,Лист2!$A:$A,$A237,Лист2!$B:$B,$B237)</f>
        <v>733</v>
      </c>
      <c r="H237" s="12">
        <f t="shared" si="6"/>
        <v>81403.8</v>
      </c>
      <c r="I237" s="44">
        <f t="shared" si="7"/>
        <v>19</v>
      </c>
      <c r="J237" s="31">
        <v>236</v>
      </c>
      <c r="K237" s="31" t="s">
        <v>55</v>
      </c>
    </row>
    <row r="238" spans="1:11" ht="14.25" customHeight="1" x14ac:dyDescent="0.35">
      <c r="A238" s="9">
        <v>43974</v>
      </c>
      <c r="B238" s="2" t="s">
        <v>18</v>
      </c>
      <c r="C238" s="10">
        <v>21958.5</v>
      </c>
      <c r="D238" s="10">
        <v>1854001.5</v>
      </c>
      <c r="E238" s="10">
        <f>SUMIFS(Лист2!$C:$C,Лист2!$A:$A,$A238,Лист2!$B:$B,$B238)</f>
        <v>17</v>
      </c>
      <c r="F238" s="10">
        <f>SUMIFS(Лист2!$D:$D,Лист2!$A:$A,$A238,Лист2!$B:$B,$B238)</f>
        <v>1294</v>
      </c>
      <c r="G238" s="10">
        <f>SUMIFS(Лист2!$E:$E,Лист2!$A:$A,$A238,Лист2!$B:$B,$B238)</f>
        <v>1155</v>
      </c>
      <c r="H238" s="10">
        <f t="shared" si="6"/>
        <v>109058.91176470589</v>
      </c>
      <c r="I238" s="43">
        <f t="shared" si="7"/>
        <v>21</v>
      </c>
      <c r="J238" s="30">
        <v>237</v>
      </c>
      <c r="K238" s="30" t="s">
        <v>57</v>
      </c>
    </row>
    <row r="239" spans="1:11" ht="14.25" customHeight="1" x14ac:dyDescent="0.35">
      <c r="A239" s="11">
        <v>43976</v>
      </c>
      <c r="B239" s="4" t="s">
        <v>18</v>
      </c>
      <c r="C239" s="12">
        <v>17211</v>
      </c>
      <c r="D239" s="12">
        <v>1507867.5</v>
      </c>
      <c r="E239" s="12">
        <f>SUMIFS(Лист2!$C:$C,Лист2!$A:$A,$A239,Лист2!$B:$B,$B239)</f>
        <v>17</v>
      </c>
      <c r="F239" s="12">
        <f>SUMIFS(Лист2!$D:$D,Лист2!$A:$A,$A239,Лист2!$B:$B,$B239)</f>
        <v>1142</v>
      </c>
      <c r="G239" s="12">
        <f>SUMIFS(Лист2!$E:$E,Лист2!$A:$A,$A239,Лист2!$B:$B,$B239)</f>
        <v>1020</v>
      </c>
      <c r="H239" s="12">
        <f t="shared" si="6"/>
        <v>88698.088235294112</v>
      </c>
      <c r="I239" s="44">
        <f t="shared" si="7"/>
        <v>22</v>
      </c>
      <c r="J239" s="31">
        <v>238</v>
      </c>
      <c r="K239" s="31" t="s">
        <v>58</v>
      </c>
    </row>
    <row r="240" spans="1:11" ht="14.25" customHeight="1" x14ac:dyDescent="0.35">
      <c r="A240" s="9">
        <v>43951</v>
      </c>
      <c r="B240" s="2" t="s">
        <v>18</v>
      </c>
      <c r="C240" s="10">
        <v>12753</v>
      </c>
      <c r="D240" s="10">
        <v>1103068.5</v>
      </c>
      <c r="E240" s="10">
        <f>SUMIFS(Лист2!$C:$C,Лист2!$A:$A,$A240,Лист2!$B:$B,$B240)</f>
        <v>15</v>
      </c>
      <c r="F240" s="10">
        <f>SUMIFS(Лист2!$D:$D,Лист2!$A:$A,$A240,Лист2!$B:$B,$B240)</f>
        <v>791</v>
      </c>
      <c r="G240" s="10">
        <f>SUMIFS(Лист2!$E:$E,Лист2!$A:$A,$A240,Лист2!$B:$B,$B240)</f>
        <v>691</v>
      </c>
      <c r="H240" s="10">
        <f t="shared" si="6"/>
        <v>73537.899999999994</v>
      </c>
      <c r="I240" s="43">
        <f t="shared" si="7"/>
        <v>18</v>
      </c>
      <c r="J240" s="30">
        <v>239</v>
      </c>
      <c r="K240" s="30" t="s">
        <v>54</v>
      </c>
    </row>
    <row r="241" spans="1:11" ht="14.25" customHeight="1" x14ac:dyDescent="0.35">
      <c r="A241" s="11">
        <v>43961</v>
      </c>
      <c r="B241" s="4" t="s">
        <v>18</v>
      </c>
      <c r="C241" s="12">
        <v>16435.5</v>
      </c>
      <c r="D241" s="12">
        <v>1471537.5</v>
      </c>
      <c r="E241" s="12">
        <f>SUMIFS(Лист2!$C:$C,Лист2!$A:$A,$A241,Лист2!$B:$B,$B241)</f>
        <v>15</v>
      </c>
      <c r="F241" s="12">
        <f>SUMIFS(Лист2!$D:$D,Лист2!$A:$A,$A241,Лист2!$B:$B,$B241)</f>
        <v>950</v>
      </c>
      <c r="G241" s="12">
        <f>SUMIFS(Лист2!$E:$E,Лист2!$A:$A,$A241,Лист2!$B:$B,$B241)</f>
        <v>848</v>
      </c>
      <c r="H241" s="12">
        <f t="shared" si="6"/>
        <v>98102.5</v>
      </c>
      <c r="I241" s="44">
        <f t="shared" si="7"/>
        <v>19</v>
      </c>
      <c r="J241" s="31">
        <v>240</v>
      </c>
      <c r="K241" s="31" t="s">
        <v>55</v>
      </c>
    </row>
    <row r="242" spans="1:11" ht="14.25" customHeight="1" x14ac:dyDescent="0.35">
      <c r="A242" s="9">
        <v>43959</v>
      </c>
      <c r="B242" s="2" t="s">
        <v>18</v>
      </c>
      <c r="C242" s="10">
        <v>14494.5</v>
      </c>
      <c r="D242" s="10">
        <v>1269786</v>
      </c>
      <c r="E242" s="10">
        <f>SUMIFS(Лист2!$C:$C,Лист2!$A:$A,$A242,Лист2!$B:$B,$B242)</f>
        <v>15</v>
      </c>
      <c r="F242" s="10">
        <f>SUMIFS(Лист2!$D:$D,Лист2!$A:$A,$A242,Лист2!$B:$B,$B242)</f>
        <v>879</v>
      </c>
      <c r="G242" s="10">
        <f>SUMIFS(Лист2!$E:$E,Лист2!$A:$A,$A242,Лист2!$B:$B,$B242)</f>
        <v>768</v>
      </c>
      <c r="H242" s="10">
        <f t="shared" si="6"/>
        <v>84652.4</v>
      </c>
      <c r="I242" s="43">
        <f t="shared" si="7"/>
        <v>19</v>
      </c>
      <c r="J242" s="30">
        <v>241</v>
      </c>
      <c r="K242" s="30" t="s">
        <v>55</v>
      </c>
    </row>
    <row r="243" spans="1:11" ht="14.25" customHeight="1" x14ac:dyDescent="0.35">
      <c r="A243" s="11">
        <v>43958</v>
      </c>
      <c r="B243" s="4" t="s">
        <v>18</v>
      </c>
      <c r="C243" s="12">
        <v>12705</v>
      </c>
      <c r="D243" s="12">
        <v>1123894.5</v>
      </c>
      <c r="E243" s="12">
        <f>SUMIFS(Лист2!$C:$C,Лист2!$A:$A,$A243,Лист2!$B:$B,$B243)</f>
        <v>15</v>
      </c>
      <c r="F243" s="12">
        <f>SUMIFS(Лист2!$D:$D,Лист2!$A:$A,$A243,Лист2!$B:$B,$B243)</f>
        <v>805</v>
      </c>
      <c r="G243" s="12">
        <f>SUMIFS(Лист2!$E:$E,Лист2!$A:$A,$A243,Лист2!$B:$B,$B243)</f>
        <v>703</v>
      </c>
      <c r="H243" s="12">
        <f t="shared" si="6"/>
        <v>74926.3</v>
      </c>
      <c r="I243" s="44">
        <f t="shared" si="7"/>
        <v>19</v>
      </c>
      <c r="J243" s="31">
        <v>242</v>
      </c>
      <c r="K243" s="31" t="s">
        <v>55</v>
      </c>
    </row>
    <row r="244" spans="1:11" ht="14.25" customHeight="1" x14ac:dyDescent="0.35">
      <c r="A244" s="9">
        <v>43975</v>
      </c>
      <c r="B244" s="2" t="s">
        <v>18</v>
      </c>
      <c r="C244" s="10">
        <v>18075</v>
      </c>
      <c r="D244" s="10">
        <v>1548099</v>
      </c>
      <c r="E244" s="10">
        <f>SUMIFS(Лист2!$C:$C,Лист2!$A:$A,$A244,Лист2!$B:$B,$B244)</f>
        <v>17</v>
      </c>
      <c r="F244" s="10">
        <f>SUMIFS(Лист2!$D:$D,Лист2!$A:$A,$A244,Лист2!$B:$B,$B244)</f>
        <v>1128</v>
      </c>
      <c r="G244" s="10">
        <f>SUMIFS(Лист2!$E:$E,Лист2!$A:$A,$A244,Лист2!$B:$B,$B244)</f>
        <v>1001</v>
      </c>
      <c r="H244" s="10">
        <f t="shared" si="6"/>
        <v>91064.647058823524</v>
      </c>
      <c r="I244" s="43">
        <f t="shared" si="7"/>
        <v>21</v>
      </c>
      <c r="J244" s="30">
        <v>243</v>
      </c>
      <c r="K244" s="30" t="s">
        <v>57</v>
      </c>
    </row>
    <row r="245" spans="1:11" ht="14.25" customHeight="1" x14ac:dyDescent="0.35">
      <c r="A245" s="11">
        <v>43967</v>
      </c>
      <c r="B245" s="4" t="s">
        <v>19</v>
      </c>
      <c r="C245" s="12">
        <v>13120.5</v>
      </c>
      <c r="D245" s="12">
        <v>1215033</v>
      </c>
      <c r="E245" s="12">
        <f>SUMIFS(Лист2!$C:$C,Лист2!$A:$A,$A245,Лист2!$B:$B,$B245)</f>
        <v>15</v>
      </c>
      <c r="F245" s="12">
        <f>SUMIFS(Лист2!$D:$D,Лист2!$A:$A,$A245,Лист2!$B:$B,$B245)</f>
        <v>747</v>
      </c>
      <c r="G245" s="12">
        <f>SUMIFS(Лист2!$E:$E,Лист2!$A:$A,$A245,Лист2!$B:$B,$B245)</f>
        <v>647</v>
      </c>
      <c r="H245" s="12">
        <f t="shared" si="6"/>
        <v>81002.2</v>
      </c>
      <c r="I245" s="44">
        <f t="shared" si="7"/>
        <v>20</v>
      </c>
      <c r="J245" s="31">
        <v>244</v>
      </c>
      <c r="K245" s="31" t="s">
        <v>56</v>
      </c>
    </row>
    <row r="246" spans="1:11" ht="14.25" customHeight="1" x14ac:dyDescent="0.35">
      <c r="A246" s="9">
        <v>43970</v>
      </c>
      <c r="B246" s="2" t="s">
        <v>19</v>
      </c>
      <c r="C246" s="10">
        <v>16237.5</v>
      </c>
      <c r="D246" s="10">
        <v>1403047.5</v>
      </c>
      <c r="E246" s="10">
        <f>SUMIFS(Лист2!$C:$C,Лист2!$A:$A,$A246,Лист2!$B:$B,$B246)</f>
        <v>15</v>
      </c>
      <c r="F246" s="10">
        <f>SUMIFS(Лист2!$D:$D,Лист2!$A:$A,$A246,Лист2!$B:$B,$B246)</f>
        <v>930</v>
      </c>
      <c r="G246" s="10">
        <f>SUMIFS(Лист2!$E:$E,Лист2!$A:$A,$A246,Лист2!$B:$B,$B246)</f>
        <v>827</v>
      </c>
      <c r="H246" s="10">
        <f t="shared" si="6"/>
        <v>93536.5</v>
      </c>
      <c r="I246" s="43">
        <f t="shared" si="7"/>
        <v>21</v>
      </c>
      <c r="J246" s="30">
        <v>245</v>
      </c>
      <c r="K246" s="30" t="s">
        <v>57</v>
      </c>
    </row>
    <row r="247" spans="1:11" ht="14.25" customHeight="1" x14ac:dyDescent="0.35">
      <c r="A247" s="11">
        <v>43968</v>
      </c>
      <c r="B247" s="4" t="s">
        <v>19</v>
      </c>
      <c r="C247" s="12">
        <v>11967</v>
      </c>
      <c r="D247" s="12">
        <v>1060489.5</v>
      </c>
      <c r="E247" s="12">
        <f>SUMIFS(Лист2!$C:$C,Лист2!$A:$A,$A247,Лист2!$B:$B,$B247)</f>
        <v>15</v>
      </c>
      <c r="F247" s="12">
        <f>SUMIFS(Лист2!$D:$D,Лист2!$A:$A,$A247,Лист2!$B:$B,$B247)</f>
        <v>692</v>
      </c>
      <c r="G247" s="12">
        <f>SUMIFS(Лист2!$E:$E,Лист2!$A:$A,$A247,Лист2!$B:$B,$B247)</f>
        <v>591</v>
      </c>
      <c r="H247" s="12">
        <f t="shared" si="6"/>
        <v>70699.3</v>
      </c>
      <c r="I247" s="44">
        <f t="shared" si="7"/>
        <v>20</v>
      </c>
      <c r="J247" s="31">
        <v>246</v>
      </c>
      <c r="K247" s="31" t="s">
        <v>56</v>
      </c>
    </row>
    <row r="248" spans="1:11" ht="14.25" customHeight="1" x14ac:dyDescent="0.35">
      <c r="A248" s="9">
        <v>43960</v>
      </c>
      <c r="B248" s="2" t="s">
        <v>19</v>
      </c>
      <c r="C248" s="10">
        <v>12037.5</v>
      </c>
      <c r="D248" s="10">
        <v>1081216.5</v>
      </c>
      <c r="E248" s="10">
        <f>SUMIFS(Лист2!$C:$C,Лист2!$A:$A,$A248,Лист2!$B:$B,$B248)</f>
        <v>15</v>
      </c>
      <c r="F248" s="10">
        <f>SUMIFS(Лист2!$D:$D,Лист2!$A:$A,$A248,Лист2!$B:$B,$B248)</f>
        <v>623</v>
      </c>
      <c r="G248" s="10">
        <f>SUMIFS(Лист2!$E:$E,Лист2!$A:$A,$A248,Лист2!$B:$B,$B248)</f>
        <v>535</v>
      </c>
      <c r="H248" s="10">
        <f t="shared" si="6"/>
        <v>72081.100000000006</v>
      </c>
      <c r="I248" s="43">
        <f t="shared" si="7"/>
        <v>19</v>
      </c>
      <c r="J248" s="30">
        <v>247</v>
      </c>
      <c r="K248" s="30" t="s">
        <v>55</v>
      </c>
    </row>
    <row r="249" spans="1:11" ht="14.25" customHeight="1" x14ac:dyDescent="0.35">
      <c r="A249" s="11">
        <v>43955</v>
      </c>
      <c r="B249" s="4" t="s">
        <v>19</v>
      </c>
      <c r="C249" s="12">
        <v>7087.5</v>
      </c>
      <c r="D249" s="12">
        <v>610855.5</v>
      </c>
      <c r="E249" s="12">
        <f>SUMIFS(Лист2!$C:$C,Лист2!$A:$A,$A249,Лист2!$B:$B,$B249)</f>
        <v>15</v>
      </c>
      <c r="F249" s="12">
        <f>SUMIFS(Лист2!$D:$D,Лист2!$A:$A,$A249,Лист2!$B:$B,$B249)</f>
        <v>390</v>
      </c>
      <c r="G249" s="12">
        <f>SUMIFS(Лист2!$E:$E,Лист2!$A:$A,$A249,Лист2!$B:$B,$B249)</f>
        <v>315</v>
      </c>
      <c r="H249" s="12">
        <f t="shared" si="6"/>
        <v>40723.699999999997</v>
      </c>
      <c r="I249" s="44">
        <f t="shared" si="7"/>
        <v>19</v>
      </c>
      <c r="J249" s="31">
        <v>248</v>
      </c>
      <c r="K249" s="31" t="s">
        <v>55</v>
      </c>
    </row>
    <row r="250" spans="1:11" ht="14.25" customHeight="1" x14ac:dyDescent="0.35">
      <c r="A250" s="9">
        <v>43950</v>
      </c>
      <c r="B250" s="2" t="s">
        <v>20</v>
      </c>
      <c r="C250" s="10">
        <v>25816.5</v>
      </c>
      <c r="D250" s="10">
        <v>2360914.5</v>
      </c>
      <c r="E250" s="10">
        <f>SUMIFS(Лист2!$C:$C,Лист2!$A:$A,$A250,Лист2!$B:$B,$B250)</f>
        <v>18</v>
      </c>
      <c r="F250" s="10">
        <f>SUMIFS(Лист2!$D:$D,Лист2!$A:$A,$A250,Лист2!$B:$B,$B250)</f>
        <v>1599</v>
      </c>
      <c r="G250" s="10">
        <f>SUMIFS(Лист2!$E:$E,Лист2!$A:$A,$A250,Лист2!$B:$B,$B250)</f>
        <v>1450</v>
      </c>
      <c r="H250" s="10">
        <f t="shared" si="6"/>
        <v>131161.91666666666</v>
      </c>
      <c r="I250" s="43">
        <f t="shared" si="7"/>
        <v>18</v>
      </c>
      <c r="J250" s="30">
        <v>249</v>
      </c>
      <c r="K250" s="30" t="s">
        <v>54</v>
      </c>
    </row>
    <row r="251" spans="1:11" ht="14.25" customHeight="1" x14ac:dyDescent="0.35">
      <c r="A251" s="11">
        <v>43953</v>
      </c>
      <c r="B251" s="4" t="s">
        <v>19</v>
      </c>
      <c r="C251" s="12">
        <v>4624.5</v>
      </c>
      <c r="D251" s="12">
        <v>433243.5</v>
      </c>
      <c r="E251" s="12">
        <f>SUMIFS(Лист2!$C:$C,Лист2!$A:$A,$A251,Лист2!$B:$B,$B251)</f>
        <v>15</v>
      </c>
      <c r="F251" s="12">
        <f>SUMIFS(Лист2!$D:$D,Лист2!$A:$A,$A251,Лист2!$B:$B,$B251)</f>
        <v>274</v>
      </c>
      <c r="G251" s="12">
        <f>SUMIFS(Лист2!$E:$E,Лист2!$A:$A,$A251,Лист2!$B:$B,$B251)</f>
        <v>203</v>
      </c>
      <c r="H251" s="12">
        <f t="shared" si="6"/>
        <v>28882.9</v>
      </c>
      <c r="I251" s="44">
        <f t="shared" si="7"/>
        <v>18</v>
      </c>
      <c r="J251" s="31">
        <v>250</v>
      </c>
      <c r="K251" s="31" t="s">
        <v>54</v>
      </c>
    </row>
    <row r="252" spans="1:11" ht="14.25" customHeight="1" x14ac:dyDescent="0.35">
      <c r="A252" s="9">
        <v>43977</v>
      </c>
      <c r="B252" s="2" t="s">
        <v>19</v>
      </c>
      <c r="C252" s="10">
        <v>12259.5</v>
      </c>
      <c r="D252" s="10">
        <v>1152054</v>
      </c>
      <c r="E252" s="10">
        <f>SUMIFS(Лист2!$C:$C,Лист2!$A:$A,$A252,Лист2!$B:$B,$B252)</f>
        <v>15</v>
      </c>
      <c r="F252" s="10">
        <f>SUMIFS(Лист2!$D:$D,Лист2!$A:$A,$A252,Лист2!$B:$B,$B252)</f>
        <v>812</v>
      </c>
      <c r="G252" s="10">
        <f>SUMIFS(Лист2!$E:$E,Лист2!$A:$A,$A252,Лист2!$B:$B,$B252)</f>
        <v>711</v>
      </c>
      <c r="H252" s="10">
        <f t="shared" si="6"/>
        <v>76803.600000000006</v>
      </c>
      <c r="I252" s="43">
        <f t="shared" si="7"/>
        <v>22</v>
      </c>
      <c r="J252" s="30">
        <v>251</v>
      </c>
      <c r="K252" s="30" t="s">
        <v>58</v>
      </c>
    </row>
    <row r="253" spans="1:11" ht="14.25" customHeight="1" x14ac:dyDescent="0.35">
      <c r="A253" s="11">
        <v>43952</v>
      </c>
      <c r="B253" s="4" t="s">
        <v>19</v>
      </c>
      <c r="C253" s="12">
        <v>5446.5</v>
      </c>
      <c r="D253" s="12">
        <v>505572</v>
      </c>
      <c r="E253" s="12">
        <f>SUMIFS(Лист2!$C:$C,Лист2!$A:$A,$A253,Лист2!$B:$B,$B253)</f>
        <v>15</v>
      </c>
      <c r="F253" s="12">
        <f>SUMIFS(Лист2!$D:$D,Лист2!$A:$A,$A253,Лист2!$B:$B,$B253)</f>
        <v>294</v>
      </c>
      <c r="G253" s="12">
        <f>SUMIFS(Лист2!$E:$E,Лист2!$A:$A,$A253,Лист2!$B:$B,$B253)</f>
        <v>225</v>
      </c>
      <c r="H253" s="12">
        <f t="shared" si="6"/>
        <v>33704.800000000003</v>
      </c>
      <c r="I253" s="44">
        <f t="shared" si="7"/>
        <v>18</v>
      </c>
      <c r="J253" s="31">
        <v>252</v>
      </c>
      <c r="K253" s="31" t="s">
        <v>54</v>
      </c>
    </row>
    <row r="254" spans="1:11" ht="14.25" customHeight="1" x14ac:dyDescent="0.35">
      <c r="A254" s="9">
        <v>43963</v>
      </c>
      <c r="B254" s="2" t="s">
        <v>19</v>
      </c>
      <c r="C254" s="10">
        <v>11296.5</v>
      </c>
      <c r="D254" s="10">
        <v>989632.5</v>
      </c>
      <c r="E254" s="10">
        <f>SUMIFS(Лист2!$C:$C,Лист2!$A:$A,$A254,Лист2!$B:$B,$B254)</f>
        <v>15</v>
      </c>
      <c r="F254" s="10">
        <f>SUMIFS(Лист2!$D:$D,Лист2!$A:$A,$A254,Лист2!$B:$B,$B254)</f>
        <v>624</v>
      </c>
      <c r="G254" s="10">
        <f>SUMIFS(Лист2!$E:$E,Лист2!$A:$A,$A254,Лист2!$B:$B,$B254)</f>
        <v>538</v>
      </c>
      <c r="H254" s="10">
        <f t="shared" si="6"/>
        <v>65975.5</v>
      </c>
      <c r="I254" s="43">
        <f t="shared" si="7"/>
        <v>20</v>
      </c>
      <c r="J254" s="30">
        <v>253</v>
      </c>
      <c r="K254" s="30" t="s">
        <v>56</v>
      </c>
    </row>
    <row r="255" spans="1:11" ht="14.25" customHeight="1" x14ac:dyDescent="0.35">
      <c r="A255" s="11">
        <v>43972</v>
      </c>
      <c r="B255" s="4" t="s">
        <v>19</v>
      </c>
      <c r="C255" s="12">
        <v>12135</v>
      </c>
      <c r="D255" s="12">
        <v>1103623.5</v>
      </c>
      <c r="E255" s="12">
        <f>SUMIFS(Лист2!$C:$C,Лист2!$A:$A,$A255,Лист2!$B:$B,$B255)</f>
        <v>15</v>
      </c>
      <c r="F255" s="12">
        <f>SUMIFS(Лист2!$D:$D,Лист2!$A:$A,$A255,Лист2!$B:$B,$B255)</f>
        <v>749</v>
      </c>
      <c r="G255" s="12">
        <f>SUMIFS(Лист2!$E:$E,Лист2!$A:$A,$A255,Лист2!$B:$B,$B255)</f>
        <v>652</v>
      </c>
      <c r="H255" s="12">
        <f t="shared" si="6"/>
        <v>73574.899999999994</v>
      </c>
      <c r="I255" s="44">
        <f t="shared" si="7"/>
        <v>21</v>
      </c>
      <c r="J255" s="31">
        <v>254</v>
      </c>
      <c r="K255" s="31" t="s">
        <v>57</v>
      </c>
    </row>
    <row r="256" spans="1:11" ht="14.25" customHeight="1" x14ac:dyDescent="0.35">
      <c r="A256" s="9">
        <v>43971</v>
      </c>
      <c r="B256" s="2" t="s">
        <v>19</v>
      </c>
      <c r="C256" s="10">
        <v>12630</v>
      </c>
      <c r="D256" s="10">
        <v>1104858</v>
      </c>
      <c r="E256" s="10">
        <f>SUMIFS(Лист2!$C:$C,Лист2!$A:$A,$A256,Лист2!$B:$B,$B256)</f>
        <v>15</v>
      </c>
      <c r="F256" s="10">
        <f>SUMIFS(Лист2!$D:$D,Лист2!$A:$A,$A256,Лист2!$B:$B,$B256)</f>
        <v>760</v>
      </c>
      <c r="G256" s="10">
        <f>SUMIFS(Лист2!$E:$E,Лист2!$A:$A,$A256,Лист2!$B:$B,$B256)</f>
        <v>664</v>
      </c>
      <c r="H256" s="10">
        <f t="shared" si="6"/>
        <v>73657.2</v>
      </c>
      <c r="I256" s="43">
        <f t="shared" si="7"/>
        <v>21</v>
      </c>
      <c r="J256" s="30">
        <v>255</v>
      </c>
      <c r="K256" s="30" t="s">
        <v>57</v>
      </c>
    </row>
    <row r="257" spans="1:11" ht="14.25" customHeight="1" x14ac:dyDescent="0.35">
      <c r="A257" s="11">
        <v>43956</v>
      </c>
      <c r="B257" s="4" t="s">
        <v>19</v>
      </c>
      <c r="C257" s="12">
        <v>8223</v>
      </c>
      <c r="D257" s="12">
        <v>694593</v>
      </c>
      <c r="E257" s="12">
        <f>SUMIFS(Лист2!$C:$C,Лист2!$A:$A,$A257,Лист2!$B:$B,$B257)</f>
        <v>15</v>
      </c>
      <c r="F257" s="12">
        <f>SUMIFS(Лист2!$D:$D,Лист2!$A:$A,$A257,Лист2!$B:$B,$B257)</f>
        <v>455</v>
      </c>
      <c r="G257" s="12">
        <f>SUMIFS(Лист2!$E:$E,Лист2!$A:$A,$A257,Лист2!$B:$B,$B257)</f>
        <v>381</v>
      </c>
      <c r="H257" s="12">
        <f t="shared" si="6"/>
        <v>46306.2</v>
      </c>
      <c r="I257" s="44">
        <f t="shared" si="7"/>
        <v>19</v>
      </c>
      <c r="J257" s="31">
        <v>256</v>
      </c>
      <c r="K257" s="31" t="s">
        <v>55</v>
      </c>
    </row>
    <row r="258" spans="1:11" ht="14.25" customHeight="1" x14ac:dyDescent="0.35">
      <c r="A258" s="9">
        <v>43949</v>
      </c>
      <c r="B258" s="2" t="s">
        <v>20</v>
      </c>
      <c r="C258" s="10">
        <v>25149</v>
      </c>
      <c r="D258" s="10">
        <v>2277072</v>
      </c>
      <c r="E258" s="10">
        <f>SUMIFS(Лист2!$C:$C,Лист2!$A:$A,$A258,Лист2!$B:$B,$B258)</f>
        <v>18</v>
      </c>
      <c r="F258" s="10">
        <f>SUMIFS(Лист2!$D:$D,Лист2!$A:$A,$A258,Лист2!$B:$B,$B258)</f>
        <v>1505</v>
      </c>
      <c r="G258" s="10">
        <f>SUMIFS(Лист2!$E:$E,Лист2!$A:$A,$A258,Лист2!$B:$B,$B258)</f>
        <v>1368</v>
      </c>
      <c r="H258" s="10">
        <f t="shared" ref="H258:H321" si="8">IFERROR($D258/$E258,0)</f>
        <v>126504</v>
      </c>
      <c r="I258" s="43">
        <f t="shared" ref="I258:I321" si="9">WEEKNUM($A258,21)</f>
        <v>18</v>
      </c>
      <c r="J258" s="30">
        <v>257</v>
      </c>
      <c r="K258" s="30" t="s">
        <v>54</v>
      </c>
    </row>
    <row r="259" spans="1:11" ht="14.25" customHeight="1" x14ac:dyDescent="0.35">
      <c r="A259" s="11">
        <v>43964</v>
      </c>
      <c r="B259" s="4" t="s">
        <v>19</v>
      </c>
      <c r="C259" s="12">
        <v>10401</v>
      </c>
      <c r="D259" s="12">
        <v>949912.5</v>
      </c>
      <c r="E259" s="12">
        <f>SUMIFS(Лист2!$C:$C,Лист2!$A:$A,$A259,Лист2!$B:$B,$B259)</f>
        <v>15</v>
      </c>
      <c r="F259" s="12">
        <f>SUMIFS(Лист2!$D:$D,Лист2!$A:$A,$A259,Лист2!$B:$B,$B259)</f>
        <v>599</v>
      </c>
      <c r="G259" s="12">
        <f>SUMIFS(Лист2!$E:$E,Лист2!$A:$A,$A259,Лист2!$B:$B,$B259)</f>
        <v>515</v>
      </c>
      <c r="H259" s="12">
        <f t="shared" si="8"/>
        <v>63327.5</v>
      </c>
      <c r="I259" s="44">
        <f t="shared" si="9"/>
        <v>20</v>
      </c>
      <c r="J259" s="31">
        <v>258</v>
      </c>
      <c r="K259" s="31" t="s">
        <v>56</v>
      </c>
    </row>
    <row r="260" spans="1:11" ht="14.25" customHeight="1" x14ac:dyDescent="0.35">
      <c r="A260" s="9">
        <v>43982</v>
      </c>
      <c r="B260" s="2" t="s">
        <v>18</v>
      </c>
      <c r="C260" s="10">
        <v>17689.5</v>
      </c>
      <c r="D260" s="10">
        <v>1592119.5</v>
      </c>
      <c r="E260" s="10">
        <f>SUMIFS(Лист2!$C:$C,Лист2!$A:$A,$A260,Лист2!$B:$B,$B260)</f>
        <v>17</v>
      </c>
      <c r="F260" s="10">
        <f>SUMIFS(Лист2!$D:$D,Лист2!$A:$A,$A260,Лист2!$B:$B,$B260)</f>
        <v>1186</v>
      </c>
      <c r="G260" s="10">
        <f>SUMIFS(Лист2!$E:$E,Лист2!$A:$A,$A260,Лист2!$B:$B,$B260)</f>
        <v>1054</v>
      </c>
      <c r="H260" s="10">
        <f t="shared" si="8"/>
        <v>93654.088235294112</v>
      </c>
      <c r="I260" s="43">
        <f t="shared" si="9"/>
        <v>22</v>
      </c>
      <c r="J260" s="30">
        <v>259</v>
      </c>
      <c r="K260" s="30" t="s">
        <v>58</v>
      </c>
    </row>
    <row r="261" spans="1:11" ht="14.25" customHeight="1" x14ac:dyDescent="0.35">
      <c r="A261" s="11">
        <v>43954</v>
      </c>
      <c r="B261" s="4" t="s">
        <v>19</v>
      </c>
      <c r="C261" s="12">
        <v>8127</v>
      </c>
      <c r="D261" s="12">
        <v>665302.5</v>
      </c>
      <c r="E261" s="12">
        <f>SUMIFS(Лист2!$C:$C,Лист2!$A:$A,$A261,Лист2!$B:$B,$B261)</f>
        <v>15</v>
      </c>
      <c r="F261" s="12">
        <f>SUMIFS(Лист2!$D:$D,Лист2!$A:$A,$A261,Лист2!$B:$B,$B261)</f>
        <v>455</v>
      </c>
      <c r="G261" s="12">
        <f>SUMIFS(Лист2!$E:$E,Лист2!$A:$A,$A261,Лист2!$B:$B,$B261)</f>
        <v>384</v>
      </c>
      <c r="H261" s="12">
        <f t="shared" si="8"/>
        <v>44353.5</v>
      </c>
      <c r="I261" s="44">
        <f t="shared" si="9"/>
        <v>18</v>
      </c>
      <c r="J261" s="31">
        <v>260</v>
      </c>
      <c r="K261" s="31" t="s">
        <v>54</v>
      </c>
    </row>
    <row r="262" spans="1:11" ht="14.25" customHeight="1" x14ac:dyDescent="0.35">
      <c r="A262" s="9">
        <v>43981</v>
      </c>
      <c r="B262" s="2" t="s">
        <v>18</v>
      </c>
      <c r="C262" s="10">
        <v>27250.5</v>
      </c>
      <c r="D262" s="10">
        <v>2457252</v>
      </c>
      <c r="E262" s="10">
        <f>SUMIFS(Лист2!$C:$C,Лист2!$A:$A,$A262,Лист2!$B:$B,$B262)</f>
        <v>17</v>
      </c>
      <c r="F262" s="10">
        <f>SUMIFS(Лист2!$D:$D,Лист2!$A:$A,$A262,Лист2!$B:$B,$B262)</f>
        <v>1697</v>
      </c>
      <c r="G262" s="10">
        <f>SUMIFS(Лист2!$E:$E,Лист2!$A:$A,$A262,Лист2!$B:$B,$B262)</f>
        <v>1499</v>
      </c>
      <c r="H262" s="10">
        <f t="shared" si="8"/>
        <v>144544.23529411765</v>
      </c>
      <c r="I262" s="43">
        <f t="shared" si="9"/>
        <v>22</v>
      </c>
      <c r="J262" s="30">
        <v>261</v>
      </c>
      <c r="K262" s="30" t="s">
        <v>58</v>
      </c>
    </row>
    <row r="263" spans="1:11" ht="14.25" customHeight="1" x14ac:dyDescent="0.35">
      <c r="A263" s="11">
        <v>43957</v>
      </c>
      <c r="B263" s="4" t="s">
        <v>19</v>
      </c>
      <c r="C263" s="12">
        <v>8464.5</v>
      </c>
      <c r="D263" s="12">
        <v>739291.5</v>
      </c>
      <c r="E263" s="12">
        <f>SUMIFS(Лист2!$C:$C,Лист2!$A:$A,$A263,Лист2!$B:$B,$B263)</f>
        <v>15</v>
      </c>
      <c r="F263" s="12">
        <f>SUMIFS(Лист2!$D:$D,Лист2!$A:$A,$A263,Лист2!$B:$B,$B263)</f>
        <v>467</v>
      </c>
      <c r="G263" s="12">
        <f>SUMIFS(Лист2!$E:$E,Лист2!$A:$A,$A263,Лист2!$B:$B,$B263)</f>
        <v>389</v>
      </c>
      <c r="H263" s="12">
        <f t="shared" si="8"/>
        <v>49286.1</v>
      </c>
      <c r="I263" s="44">
        <f t="shared" si="9"/>
        <v>19</v>
      </c>
      <c r="J263" s="31">
        <v>262</v>
      </c>
      <c r="K263" s="31" t="s">
        <v>55</v>
      </c>
    </row>
    <row r="264" spans="1:11" ht="14.25" customHeight="1" x14ac:dyDescent="0.35">
      <c r="A264" s="9">
        <v>43974</v>
      </c>
      <c r="B264" s="2" t="s">
        <v>19</v>
      </c>
      <c r="C264" s="10">
        <v>14167.5</v>
      </c>
      <c r="D264" s="10">
        <v>1315075.5</v>
      </c>
      <c r="E264" s="10">
        <f>SUMIFS(Лист2!$C:$C,Лист2!$A:$A,$A264,Лист2!$B:$B,$B264)</f>
        <v>15</v>
      </c>
      <c r="F264" s="10">
        <f>SUMIFS(Лист2!$D:$D,Лист2!$A:$A,$A264,Лист2!$B:$B,$B264)</f>
        <v>840</v>
      </c>
      <c r="G264" s="10">
        <f>SUMIFS(Лист2!$E:$E,Лист2!$A:$A,$A264,Лист2!$B:$B,$B264)</f>
        <v>725</v>
      </c>
      <c r="H264" s="10">
        <f t="shared" si="8"/>
        <v>87671.7</v>
      </c>
      <c r="I264" s="43">
        <f t="shared" si="9"/>
        <v>21</v>
      </c>
      <c r="J264" s="30">
        <v>263</v>
      </c>
      <c r="K264" s="30" t="s">
        <v>57</v>
      </c>
    </row>
    <row r="265" spans="1:11" ht="14.25" customHeight="1" x14ac:dyDescent="0.35">
      <c r="A265" s="11">
        <v>43979</v>
      </c>
      <c r="B265" s="4" t="s">
        <v>18</v>
      </c>
      <c r="C265" s="12">
        <v>16500</v>
      </c>
      <c r="D265" s="12">
        <v>1487928</v>
      </c>
      <c r="E265" s="12">
        <f>SUMIFS(Лист2!$C:$C,Лист2!$A:$A,$A265,Лист2!$B:$B,$B265)</f>
        <v>17</v>
      </c>
      <c r="F265" s="12">
        <f>SUMIFS(Лист2!$D:$D,Лист2!$A:$A,$A265,Лист2!$B:$B,$B265)</f>
        <v>1097</v>
      </c>
      <c r="G265" s="12">
        <f>SUMIFS(Лист2!$E:$E,Лист2!$A:$A,$A265,Лист2!$B:$B,$B265)</f>
        <v>968</v>
      </c>
      <c r="H265" s="12">
        <f t="shared" si="8"/>
        <v>87525.176470588238</v>
      </c>
      <c r="I265" s="44">
        <f t="shared" si="9"/>
        <v>22</v>
      </c>
      <c r="J265" s="31">
        <v>264</v>
      </c>
      <c r="K265" s="31" t="s">
        <v>58</v>
      </c>
    </row>
    <row r="266" spans="1:11" ht="14.25" customHeight="1" x14ac:dyDescent="0.35">
      <c r="A266" s="9">
        <v>43976</v>
      </c>
      <c r="B266" s="2" t="s">
        <v>19</v>
      </c>
      <c r="C266" s="10">
        <v>13260</v>
      </c>
      <c r="D266" s="10">
        <v>1230687</v>
      </c>
      <c r="E266" s="10">
        <f>SUMIFS(Лист2!$C:$C,Лист2!$A:$A,$A266,Лист2!$B:$B,$B266)</f>
        <v>15</v>
      </c>
      <c r="F266" s="10">
        <f>SUMIFS(Лист2!$D:$D,Лист2!$A:$A,$A266,Лист2!$B:$B,$B266)</f>
        <v>835</v>
      </c>
      <c r="G266" s="10">
        <f>SUMIFS(Лист2!$E:$E,Лист2!$A:$A,$A266,Лист2!$B:$B,$B266)</f>
        <v>736</v>
      </c>
      <c r="H266" s="10">
        <f t="shared" si="8"/>
        <v>82045.8</v>
      </c>
      <c r="I266" s="43">
        <f t="shared" si="9"/>
        <v>22</v>
      </c>
      <c r="J266" s="30">
        <v>265</v>
      </c>
      <c r="K266" s="30" t="s">
        <v>58</v>
      </c>
    </row>
    <row r="267" spans="1:11" ht="14.25" customHeight="1" x14ac:dyDescent="0.35">
      <c r="A267" s="11">
        <v>43951</v>
      </c>
      <c r="B267" s="4" t="s">
        <v>19</v>
      </c>
      <c r="C267" s="12">
        <v>4285.5</v>
      </c>
      <c r="D267" s="12">
        <v>404691</v>
      </c>
      <c r="E267" s="12">
        <f>SUMIFS(Лист2!$C:$C,Лист2!$A:$A,$A267,Лист2!$B:$B,$B267)</f>
        <v>15</v>
      </c>
      <c r="F267" s="12">
        <f>SUMIFS(Лист2!$D:$D,Лист2!$A:$A,$A267,Лист2!$B:$B,$B267)</f>
        <v>262</v>
      </c>
      <c r="G267" s="12">
        <f>SUMIFS(Лист2!$E:$E,Лист2!$A:$A,$A267,Лист2!$B:$B,$B267)</f>
        <v>195</v>
      </c>
      <c r="H267" s="12">
        <f t="shared" si="8"/>
        <v>26979.4</v>
      </c>
      <c r="I267" s="44">
        <f t="shared" si="9"/>
        <v>18</v>
      </c>
      <c r="J267" s="31">
        <v>266</v>
      </c>
      <c r="K267" s="31" t="s">
        <v>54</v>
      </c>
    </row>
    <row r="268" spans="1:11" ht="14.25" customHeight="1" x14ac:dyDescent="0.35">
      <c r="A268" s="9">
        <v>43961</v>
      </c>
      <c r="B268" s="2" t="s">
        <v>19</v>
      </c>
      <c r="C268" s="10">
        <v>13440</v>
      </c>
      <c r="D268" s="10">
        <v>1198285.5</v>
      </c>
      <c r="E268" s="10">
        <f>SUMIFS(Лист2!$C:$C,Лист2!$A:$A,$A268,Лист2!$B:$B,$B268)</f>
        <v>15</v>
      </c>
      <c r="F268" s="10">
        <f>SUMIFS(Лист2!$D:$D,Лист2!$A:$A,$A268,Лист2!$B:$B,$B268)</f>
        <v>706</v>
      </c>
      <c r="G268" s="10">
        <f>SUMIFS(Лист2!$E:$E,Лист2!$A:$A,$A268,Лист2!$B:$B,$B268)</f>
        <v>608</v>
      </c>
      <c r="H268" s="10">
        <f t="shared" si="8"/>
        <v>79885.7</v>
      </c>
      <c r="I268" s="43">
        <f t="shared" si="9"/>
        <v>19</v>
      </c>
      <c r="J268" s="30">
        <v>267</v>
      </c>
      <c r="K268" s="30" t="s">
        <v>55</v>
      </c>
    </row>
    <row r="269" spans="1:11" ht="14.25" customHeight="1" x14ac:dyDescent="0.35">
      <c r="A269" s="11">
        <v>43959</v>
      </c>
      <c r="B269" s="4" t="s">
        <v>19</v>
      </c>
      <c r="C269" s="12">
        <v>9058.5</v>
      </c>
      <c r="D269" s="12">
        <v>798759</v>
      </c>
      <c r="E269" s="12">
        <f>SUMIFS(Лист2!$C:$C,Лист2!$A:$A,$A269,Лист2!$B:$B,$B269)</f>
        <v>15</v>
      </c>
      <c r="F269" s="12">
        <f>SUMIFS(Лист2!$D:$D,Лист2!$A:$A,$A269,Лист2!$B:$B,$B269)</f>
        <v>492</v>
      </c>
      <c r="G269" s="12">
        <f>SUMIFS(Лист2!$E:$E,Лист2!$A:$A,$A269,Лист2!$B:$B,$B269)</f>
        <v>412</v>
      </c>
      <c r="H269" s="12">
        <f t="shared" si="8"/>
        <v>53250.6</v>
      </c>
      <c r="I269" s="44">
        <f t="shared" si="9"/>
        <v>19</v>
      </c>
      <c r="J269" s="31">
        <v>268</v>
      </c>
      <c r="K269" s="31" t="s">
        <v>55</v>
      </c>
    </row>
    <row r="270" spans="1:11" ht="14.25" customHeight="1" x14ac:dyDescent="0.35">
      <c r="A270" s="9">
        <v>43958</v>
      </c>
      <c r="B270" s="2" t="s">
        <v>19</v>
      </c>
      <c r="C270" s="10">
        <v>8719.5</v>
      </c>
      <c r="D270" s="10">
        <v>769276.5</v>
      </c>
      <c r="E270" s="10">
        <f>SUMIFS(Лист2!$C:$C,Лист2!$A:$A,$A270,Лист2!$B:$B,$B270)</f>
        <v>15</v>
      </c>
      <c r="F270" s="10">
        <f>SUMIFS(Лист2!$D:$D,Лист2!$A:$A,$A270,Лист2!$B:$B,$B270)</f>
        <v>480</v>
      </c>
      <c r="G270" s="10">
        <f>SUMIFS(Лист2!$E:$E,Лист2!$A:$A,$A270,Лист2!$B:$B,$B270)</f>
        <v>398</v>
      </c>
      <c r="H270" s="10">
        <f t="shared" si="8"/>
        <v>51285.1</v>
      </c>
      <c r="I270" s="43">
        <f t="shared" si="9"/>
        <v>19</v>
      </c>
      <c r="J270" s="30">
        <v>269</v>
      </c>
      <c r="K270" s="30" t="s">
        <v>55</v>
      </c>
    </row>
    <row r="271" spans="1:11" ht="14.25" customHeight="1" x14ac:dyDescent="0.35">
      <c r="A271" s="11">
        <v>43975</v>
      </c>
      <c r="B271" s="4" t="s">
        <v>19</v>
      </c>
      <c r="C271" s="12">
        <v>12666</v>
      </c>
      <c r="D271" s="12">
        <v>1184865</v>
      </c>
      <c r="E271" s="12">
        <f>SUMIFS(Лист2!$C:$C,Лист2!$A:$A,$A271,Лист2!$B:$B,$B271)</f>
        <v>15</v>
      </c>
      <c r="F271" s="12">
        <f>SUMIFS(Лист2!$D:$D,Лист2!$A:$A,$A271,Лист2!$B:$B,$B271)</f>
        <v>779</v>
      </c>
      <c r="G271" s="12">
        <f>SUMIFS(Лист2!$E:$E,Лист2!$A:$A,$A271,Лист2!$B:$B,$B271)</f>
        <v>673</v>
      </c>
      <c r="H271" s="12">
        <f t="shared" si="8"/>
        <v>78991</v>
      </c>
      <c r="I271" s="44">
        <f t="shared" si="9"/>
        <v>21</v>
      </c>
      <c r="J271" s="31">
        <v>270</v>
      </c>
      <c r="K271" s="31" t="s">
        <v>57</v>
      </c>
    </row>
    <row r="272" spans="1:11" ht="14.25" customHeight="1" x14ac:dyDescent="0.35">
      <c r="A272" s="9">
        <v>43967</v>
      </c>
      <c r="B272" s="2" t="s">
        <v>20</v>
      </c>
      <c r="C272" s="10">
        <v>34563</v>
      </c>
      <c r="D272" s="10">
        <v>2922883.5</v>
      </c>
      <c r="E272" s="10">
        <f>SUMIFS(Лист2!$C:$C,Лист2!$A:$A,$A272,Лист2!$B:$B,$B272)</f>
        <v>19</v>
      </c>
      <c r="F272" s="10">
        <f>SUMIFS(Лист2!$D:$D,Лист2!$A:$A,$A272,Лист2!$B:$B,$B272)</f>
        <v>2039</v>
      </c>
      <c r="G272" s="10">
        <f>SUMIFS(Лист2!$E:$E,Лист2!$A:$A,$A272,Лист2!$B:$B,$B272)</f>
        <v>1868</v>
      </c>
      <c r="H272" s="10">
        <f t="shared" si="8"/>
        <v>153835.97368421053</v>
      </c>
      <c r="I272" s="43">
        <f t="shared" si="9"/>
        <v>20</v>
      </c>
      <c r="J272" s="30">
        <v>271</v>
      </c>
      <c r="K272" s="30" t="s">
        <v>56</v>
      </c>
    </row>
    <row r="273" spans="1:11" ht="14.25" customHeight="1" x14ac:dyDescent="0.35">
      <c r="A273" s="11">
        <v>43970</v>
      </c>
      <c r="B273" s="4" t="s">
        <v>20</v>
      </c>
      <c r="C273" s="12">
        <v>28882.5</v>
      </c>
      <c r="D273" s="12">
        <v>2446530</v>
      </c>
      <c r="E273" s="12">
        <f>SUMIFS(Лист2!$C:$C,Лист2!$A:$A,$A273,Лист2!$B:$B,$B273)</f>
        <v>19</v>
      </c>
      <c r="F273" s="12">
        <f>SUMIFS(Лист2!$D:$D,Лист2!$A:$A,$A273,Лист2!$B:$B,$B273)</f>
        <v>1831</v>
      </c>
      <c r="G273" s="12">
        <f>SUMIFS(Лист2!$E:$E,Лист2!$A:$A,$A273,Лист2!$B:$B,$B273)</f>
        <v>1667</v>
      </c>
      <c r="H273" s="12">
        <f t="shared" si="8"/>
        <v>128764.73684210527</v>
      </c>
      <c r="I273" s="44">
        <f t="shared" si="9"/>
        <v>21</v>
      </c>
      <c r="J273" s="31">
        <v>272</v>
      </c>
      <c r="K273" s="31" t="s">
        <v>57</v>
      </c>
    </row>
    <row r="274" spans="1:11" ht="14.25" customHeight="1" x14ac:dyDescent="0.35">
      <c r="A274" s="9">
        <v>43968</v>
      </c>
      <c r="B274" s="2" t="s">
        <v>20</v>
      </c>
      <c r="C274" s="10">
        <v>28275</v>
      </c>
      <c r="D274" s="10">
        <v>2435632.5</v>
      </c>
      <c r="E274" s="10">
        <f>SUMIFS(Лист2!$C:$C,Лист2!$A:$A,$A274,Лист2!$B:$B,$B274)</f>
        <v>19</v>
      </c>
      <c r="F274" s="10">
        <f>SUMIFS(Лист2!$D:$D,Лист2!$A:$A,$A274,Лист2!$B:$B,$B274)</f>
        <v>1790</v>
      </c>
      <c r="G274" s="10">
        <f>SUMIFS(Лист2!$E:$E,Лист2!$A:$A,$A274,Лист2!$B:$B,$B274)</f>
        <v>1633</v>
      </c>
      <c r="H274" s="10">
        <f t="shared" si="8"/>
        <v>128191.18421052632</v>
      </c>
      <c r="I274" s="43">
        <f t="shared" si="9"/>
        <v>20</v>
      </c>
      <c r="J274" s="30">
        <v>273</v>
      </c>
      <c r="K274" s="30" t="s">
        <v>56</v>
      </c>
    </row>
    <row r="275" spans="1:11" ht="14.25" customHeight="1" x14ac:dyDescent="0.35">
      <c r="A275" s="11">
        <v>43960</v>
      </c>
      <c r="B275" s="4" t="s">
        <v>20</v>
      </c>
      <c r="C275" s="12">
        <v>26271</v>
      </c>
      <c r="D275" s="12">
        <v>2384937</v>
      </c>
      <c r="E275" s="12">
        <f>SUMIFS(Лист2!$C:$C,Лист2!$A:$A,$A275,Лист2!$B:$B,$B275)</f>
        <v>19</v>
      </c>
      <c r="F275" s="12">
        <f>SUMIFS(Лист2!$D:$D,Лист2!$A:$A,$A275,Лист2!$B:$B,$B275)</f>
        <v>1542</v>
      </c>
      <c r="G275" s="12">
        <f>SUMIFS(Лист2!$E:$E,Лист2!$A:$A,$A275,Лист2!$B:$B,$B275)</f>
        <v>1412</v>
      </c>
      <c r="H275" s="12">
        <f t="shared" si="8"/>
        <v>125523</v>
      </c>
      <c r="I275" s="44">
        <f t="shared" si="9"/>
        <v>19</v>
      </c>
      <c r="J275" s="31">
        <v>274</v>
      </c>
      <c r="K275" s="31" t="s">
        <v>55</v>
      </c>
    </row>
    <row r="276" spans="1:11" ht="14.25" customHeight="1" x14ac:dyDescent="0.35">
      <c r="A276" s="9">
        <v>43955</v>
      </c>
      <c r="B276" s="2" t="s">
        <v>20</v>
      </c>
      <c r="C276" s="10">
        <v>23587.5</v>
      </c>
      <c r="D276" s="10">
        <v>2155668</v>
      </c>
      <c r="E276" s="10">
        <f>SUMIFS(Лист2!$C:$C,Лист2!$A:$A,$A276,Лист2!$B:$B,$B276)</f>
        <v>19</v>
      </c>
      <c r="F276" s="10">
        <f>SUMIFS(Лист2!$D:$D,Лист2!$A:$A,$A276,Лист2!$B:$B,$B276)</f>
        <v>1479</v>
      </c>
      <c r="G276" s="10">
        <f>SUMIFS(Лист2!$E:$E,Лист2!$A:$A,$A276,Лист2!$B:$B,$B276)</f>
        <v>1346</v>
      </c>
      <c r="H276" s="10">
        <f t="shared" si="8"/>
        <v>113456.21052631579</v>
      </c>
      <c r="I276" s="43">
        <f t="shared" si="9"/>
        <v>19</v>
      </c>
      <c r="J276" s="30">
        <v>275</v>
      </c>
      <c r="K276" s="30" t="s">
        <v>55</v>
      </c>
    </row>
    <row r="277" spans="1:11" ht="14.25" customHeight="1" x14ac:dyDescent="0.35">
      <c r="A277" s="11">
        <v>43953</v>
      </c>
      <c r="B277" s="4" t="s">
        <v>20</v>
      </c>
      <c r="C277" s="12">
        <v>18427.5</v>
      </c>
      <c r="D277" s="12">
        <v>1682851.5</v>
      </c>
      <c r="E277" s="12">
        <f>SUMIFS(Лист2!$C:$C,Лист2!$A:$A,$A277,Лист2!$B:$B,$B277)</f>
        <v>19</v>
      </c>
      <c r="F277" s="12">
        <f>SUMIFS(Лист2!$D:$D,Лист2!$A:$A,$A277,Лист2!$B:$B,$B277)</f>
        <v>1206</v>
      </c>
      <c r="G277" s="12">
        <f>SUMIFS(Лист2!$E:$E,Лист2!$A:$A,$A277,Лист2!$B:$B,$B277)</f>
        <v>1080</v>
      </c>
      <c r="H277" s="12">
        <f t="shared" si="8"/>
        <v>88571.131578947374</v>
      </c>
      <c r="I277" s="44">
        <f t="shared" si="9"/>
        <v>18</v>
      </c>
      <c r="J277" s="31">
        <v>276</v>
      </c>
      <c r="K277" s="31" t="s">
        <v>54</v>
      </c>
    </row>
    <row r="278" spans="1:11" ht="14.25" customHeight="1" x14ac:dyDescent="0.35">
      <c r="A278" s="9">
        <v>43977</v>
      </c>
      <c r="B278" s="2" t="s">
        <v>20</v>
      </c>
      <c r="C278" s="10">
        <v>27156</v>
      </c>
      <c r="D278" s="10">
        <v>2410803</v>
      </c>
      <c r="E278" s="10">
        <f>SUMIFS(Лист2!$C:$C,Лист2!$A:$A,$A278,Лист2!$B:$B,$B278)</f>
        <v>20</v>
      </c>
      <c r="F278" s="10">
        <f>SUMIFS(Лист2!$D:$D,Лист2!$A:$A,$A278,Лист2!$B:$B,$B278)</f>
        <v>1814</v>
      </c>
      <c r="G278" s="10">
        <f>SUMIFS(Лист2!$E:$E,Лист2!$A:$A,$A278,Лист2!$B:$B,$B278)</f>
        <v>1655</v>
      </c>
      <c r="H278" s="10">
        <f t="shared" si="8"/>
        <v>120540.15</v>
      </c>
      <c r="I278" s="43">
        <f t="shared" si="9"/>
        <v>22</v>
      </c>
      <c r="J278" s="30">
        <v>277</v>
      </c>
      <c r="K278" s="30" t="s">
        <v>58</v>
      </c>
    </row>
    <row r="279" spans="1:11" ht="14.25" customHeight="1" x14ac:dyDescent="0.35">
      <c r="A279" s="11">
        <v>43952</v>
      </c>
      <c r="B279" s="4" t="s">
        <v>20</v>
      </c>
      <c r="C279" s="12">
        <v>35190</v>
      </c>
      <c r="D279" s="12">
        <v>3168510</v>
      </c>
      <c r="E279" s="12">
        <f>SUMIFS(Лист2!$C:$C,Лист2!$A:$A,$A279,Лист2!$B:$B,$B279)</f>
        <v>19</v>
      </c>
      <c r="F279" s="12">
        <f>SUMIFS(Лист2!$D:$D,Лист2!$A:$A,$A279,Лист2!$B:$B,$B279)</f>
        <v>1987</v>
      </c>
      <c r="G279" s="12">
        <f>SUMIFS(Лист2!$E:$E,Лист2!$A:$A,$A279,Лист2!$B:$B,$B279)</f>
        <v>1791</v>
      </c>
      <c r="H279" s="12">
        <f t="shared" si="8"/>
        <v>166763.68421052632</v>
      </c>
      <c r="I279" s="44">
        <f t="shared" si="9"/>
        <v>18</v>
      </c>
      <c r="J279" s="31">
        <v>278</v>
      </c>
      <c r="K279" s="31" t="s">
        <v>54</v>
      </c>
    </row>
    <row r="280" spans="1:11" ht="14.25" customHeight="1" x14ac:dyDescent="0.35">
      <c r="A280" s="9">
        <v>43963</v>
      </c>
      <c r="B280" s="2" t="s">
        <v>20</v>
      </c>
      <c r="C280" s="10">
        <v>25483.5</v>
      </c>
      <c r="D280" s="10">
        <v>2243160</v>
      </c>
      <c r="E280" s="10">
        <f>SUMIFS(Лист2!$C:$C,Лист2!$A:$A,$A280,Лист2!$B:$B,$B280)</f>
        <v>19</v>
      </c>
      <c r="F280" s="10">
        <f>SUMIFS(Лист2!$D:$D,Лист2!$A:$A,$A280,Лист2!$B:$B,$B280)</f>
        <v>1598</v>
      </c>
      <c r="G280" s="10">
        <f>SUMIFS(Лист2!$E:$E,Лист2!$A:$A,$A280,Лист2!$B:$B,$B280)</f>
        <v>1454</v>
      </c>
      <c r="H280" s="10">
        <f t="shared" si="8"/>
        <v>118061.05263157895</v>
      </c>
      <c r="I280" s="43">
        <f t="shared" si="9"/>
        <v>20</v>
      </c>
      <c r="J280" s="30">
        <v>279</v>
      </c>
      <c r="K280" s="30" t="s">
        <v>56</v>
      </c>
    </row>
    <row r="281" spans="1:11" ht="14.25" customHeight="1" x14ac:dyDescent="0.35">
      <c r="A281" s="11">
        <v>43972</v>
      </c>
      <c r="B281" s="4" t="s">
        <v>20</v>
      </c>
      <c r="C281" s="12">
        <v>25362</v>
      </c>
      <c r="D281" s="12">
        <v>2198935.5</v>
      </c>
      <c r="E281" s="12">
        <f>SUMIFS(Лист2!$C:$C,Лист2!$A:$A,$A281,Лист2!$B:$B,$B281)</f>
        <v>19</v>
      </c>
      <c r="F281" s="12">
        <f>SUMIFS(Лист2!$D:$D,Лист2!$A:$A,$A281,Лист2!$B:$B,$B281)</f>
        <v>1650</v>
      </c>
      <c r="G281" s="12">
        <f>SUMIFS(Лист2!$E:$E,Лист2!$A:$A,$A281,Лист2!$B:$B,$B281)</f>
        <v>1505</v>
      </c>
      <c r="H281" s="12">
        <f t="shared" si="8"/>
        <v>115733.44736842105</v>
      </c>
      <c r="I281" s="44">
        <f t="shared" si="9"/>
        <v>21</v>
      </c>
      <c r="J281" s="31">
        <v>280</v>
      </c>
      <c r="K281" s="31" t="s">
        <v>57</v>
      </c>
    </row>
    <row r="282" spans="1:11" ht="14.25" customHeight="1" x14ac:dyDescent="0.35">
      <c r="A282" s="9">
        <v>43971</v>
      </c>
      <c r="B282" s="2" t="s">
        <v>20</v>
      </c>
      <c r="C282" s="10">
        <v>28849.5</v>
      </c>
      <c r="D282" s="10">
        <v>2520759</v>
      </c>
      <c r="E282" s="10">
        <f>SUMIFS(Лист2!$C:$C,Лист2!$A:$A,$A282,Лист2!$B:$B,$B282)</f>
        <v>19</v>
      </c>
      <c r="F282" s="10">
        <f>SUMIFS(Лист2!$D:$D,Лист2!$A:$A,$A282,Лист2!$B:$B,$B282)</f>
        <v>1823</v>
      </c>
      <c r="G282" s="10">
        <f>SUMIFS(Лист2!$E:$E,Лист2!$A:$A,$A282,Лист2!$B:$B,$B282)</f>
        <v>1678</v>
      </c>
      <c r="H282" s="10">
        <f t="shared" si="8"/>
        <v>132671.52631578947</v>
      </c>
      <c r="I282" s="43">
        <f t="shared" si="9"/>
        <v>21</v>
      </c>
      <c r="J282" s="30">
        <v>281</v>
      </c>
      <c r="K282" s="30" t="s">
        <v>57</v>
      </c>
    </row>
    <row r="283" spans="1:11" ht="14.25" customHeight="1" x14ac:dyDescent="0.35">
      <c r="A283" s="11">
        <v>43956</v>
      </c>
      <c r="B283" s="4" t="s">
        <v>20</v>
      </c>
      <c r="C283" s="12">
        <v>26367</v>
      </c>
      <c r="D283" s="12">
        <v>2380333.5</v>
      </c>
      <c r="E283" s="12">
        <f>SUMIFS(Лист2!$C:$C,Лист2!$A:$A,$A283,Лист2!$B:$B,$B283)</f>
        <v>19</v>
      </c>
      <c r="F283" s="12">
        <f>SUMIFS(Лист2!$D:$D,Лист2!$A:$A,$A283,Лист2!$B:$B,$B283)</f>
        <v>1622</v>
      </c>
      <c r="G283" s="12">
        <f>SUMIFS(Лист2!$E:$E,Лист2!$A:$A,$A283,Лист2!$B:$B,$B283)</f>
        <v>1482</v>
      </c>
      <c r="H283" s="12">
        <f t="shared" si="8"/>
        <v>125280.71052631579</v>
      </c>
      <c r="I283" s="44">
        <f t="shared" si="9"/>
        <v>19</v>
      </c>
      <c r="J283" s="31">
        <v>282</v>
      </c>
      <c r="K283" s="31" t="s">
        <v>55</v>
      </c>
    </row>
    <row r="284" spans="1:11" ht="14.25" customHeight="1" x14ac:dyDescent="0.35">
      <c r="A284" s="9">
        <v>43964</v>
      </c>
      <c r="B284" s="2" t="s">
        <v>20</v>
      </c>
      <c r="C284" s="10">
        <v>25539</v>
      </c>
      <c r="D284" s="10">
        <v>2263651.5</v>
      </c>
      <c r="E284" s="10">
        <f>SUMIFS(Лист2!$C:$C,Лист2!$A:$A,$A284,Лист2!$B:$B,$B284)</f>
        <v>19</v>
      </c>
      <c r="F284" s="10">
        <f>SUMIFS(Лист2!$D:$D,Лист2!$A:$A,$A284,Лист2!$B:$B,$B284)</f>
        <v>1605</v>
      </c>
      <c r="G284" s="10">
        <f>SUMIFS(Лист2!$E:$E,Лист2!$A:$A,$A284,Лист2!$B:$B,$B284)</f>
        <v>1447</v>
      </c>
      <c r="H284" s="10">
        <f t="shared" si="8"/>
        <v>119139.55263157895</v>
      </c>
      <c r="I284" s="43">
        <f t="shared" si="9"/>
        <v>20</v>
      </c>
      <c r="J284" s="30">
        <v>283</v>
      </c>
      <c r="K284" s="30" t="s">
        <v>56</v>
      </c>
    </row>
    <row r="285" spans="1:11" ht="14.25" customHeight="1" x14ac:dyDescent="0.35">
      <c r="A285" s="11">
        <v>43982</v>
      </c>
      <c r="B285" s="4" t="s">
        <v>19</v>
      </c>
      <c r="C285" s="12">
        <v>14808</v>
      </c>
      <c r="D285" s="12">
        <v>1336789.5</v>
      </c>
      <c r="E285" s="12">
        <f>SUMIFS(Лист2!$C:$C,Лист2!$A:$A,$A285,Лист2!$B:$B,$B285)</f>
        <v>16</v>
      </c>
      <c r="F285" s="12">
        <f>SUMIFS(Лист2!$D:$D,Лист2!$A:$A,$A285,Лист2!$B:$B,$B285)</f>
        <v>917</v>
      </c>
      <c r="G285" s="12">
        <f>SUMIFS(Лист2!$E:$E,Лист2!$A:$A,$A285,Лист2!$B:$B,$B285)</f>
        <v>802</v>
      </c>
      <c r="H285" s="12">
        <f t="shared" si="8"/>
        <v>83549.34375</v>
      </c>
      <c r="I285" s="44">
        <f t="shared" si="9"/>
        <v>22</v>
      </c>
      <c r="J285" s="31">
        <v>284</v>
      </c>
      <c r="K285" s="31" t="s">
        <v>58</v>
      </c>
    </row>
    <row r="286" spans="1:11" ht="14.25" customHeight="1" x14ac:dyDescent="0.35">
      <c r="A286" s="9">
        <v>43954</v>
      </c>
      <c r="B286" s="2" t="s">
        <v>20</v>
      </c>
      <c r="C286" s="10">
        <v>21343.5</v>
      </c>
      <c r="D286" s="10">
        <v>1906557</v>
      </c>
      <c r="E286" s="10">
        <f>SUMIFS(Лист2!$C:$C,Лист2!$A:$A,$A286,Лист2!$B:$B,$B286)</f>
        <v>19</v>
      </c>
      <c r="F286" s="10">
        <f>SUMIFS(Лист2!$D:$D,Лист2!$A:$A,$A286,Лист2!$B:$B,$B286)</f>
        <v>1314</v>
      </c>
      <c r="G286" s="10">
        <f>SUMIFS(Лист2!$E:$E,Лист2!$A:$A,$A286,Лист2!$B:$B,$B286)</f>
        <v>1192</v>
      </c>
      <c r="H286" s="10">
        <f t="shared" si="8"/>
        <v>100345.10526315789</v>
      </c>
      <c r="I286" s="43">
        <f t="shared" si="9"/>
        <v>18</v>
      </c>
      <c r="J286" s="30">
        <v>285</v>
      </c>
      <c r="K286" s="30" t="s">
        <v>54</v>
      </c>
    </row>
    <row r="287" spans="1:11" ht="14.25" customHeight="1" x14ac:dyDescent="0.35">
      <c r="A287" s="11">
        <v>43981</v>
      </c>
      <c r="B287" s="4" t="s">
        <v>19</v>
      </c>
      <c r="C287" s="12">
        <v>17946</v>
      </c>
      <c r="D287" s="12">
        <v>1609090.5</v>
      </c>
      <c r="E287" s="12">
        <f>SUMIFS(Лист2!$C:$C,Лист2!$A:$A,$A287,Лист2!$B:$B,$B287)</f>
        <v>16</v>
      </c>
      <c r="F287" s="12">
        <f>SUMIFS(Лист2!$D:$D,Лист2!$A:$A,$A287,Лист2!$B:$B,$B287)</f>
        <v>1048</v>
      </c>
      <c r="G287" s="12">
        <f>SUMIFS(Лист2!$E:$E,Лист2!$A:$A,$A287,Лист2!$B:$B,$B287)</f>
        <v>918</v>
      </c>
      <c r="H287" s="12">
        <f t="shared" si="8"/>
        <v>100568.15625</v>
      </c>
      <c r="I287" s="44">
        <f t="shared" si="9"/>
        <v>22</v>
      </c>
      <c r="J287" s="31">
        <v>286</v>
      </c>
      <c r="K287" s="31" t="s">
        <v>58</v>
      </c>
    </row>
    <row r="288" spans="1:11" ht="14.25" customHeight="1" x14ac:dyDescent="0.35">
      <c r="A288" s="9">
        <v>43957</v>
      </c>
      <c r="B288" s="2" t="s">
        <v>20</v>
      </c>
      <c r="C288" s="10">
        <v>24337.5</v>
      </c>
      <c r="D288" s="10">
        <v>2159350.5</v>
      </c>
      <c r="E288" s="10">
        <f>SUMIFS(Лист2!$C:$C,Лист2!$A:$A,$A288,Лист2!$B:$B,$B288)</f>
        <v>19</v>
      </c>
      <c r="F288" s="10">
        <f>SUMIFS(Лист2!$D:$D,Лист2!$A:$A,$A288,Лист2!$B:$B,$B288)</f>
        <v>1509</v>
      </c>
      <c r="G288" s="10">
        <f>SUMIFS(Лист2!$E:$E,Лист2!$A:$A,$A288,Лист2!$B:$B,$B288)</f>
        <v>1374</v>
      </c>
      <c r="H288" s="10">
        <f t="shared" si="8"/>
        <v>113650.02631578948</v>
      </c>
      <c r="I288" s="43">
        <f t="shared" si="9"/>
        <v>19</v>
      </c>
      <c r="J288" s="30">
        <v>287</v>
      </c>
      <c r="K288" s="30" t="s">
        <v>55</v>
      </c>
    </row>
    <row r="289" spans="1:11" ht="14.25" customHeight="1" x14ac:dyDescent="0.35">
      <c r="A289" s="11">
        <v>43974</v>
      </c>
      <c r="B289" s="4" t="s">
        <v>20</v>
      </c>
      <c r="C289" s="12">
        <v>36997.5</v>
      </c>
      <c r="D289" s="12">
        <v>3089140.5</v>
      </c>
      <c r="E289" s="12">
        <f>SUMIFS(Лист2!$C:$C,Лист2!$A:$A,$A289,Лист2!$B:$B,$B289)</f>
        <v>19</v>
      </c>
      <c r="F289" s="12">
        <f>SUMIFS(Лист2!$D:$D,Лист2!$A:$A,$A289,Лист2!$B:$B,$B289)</f>
        <v>2195</v>
      </c>
      <c r="G289" s="12">
        <f>SUMIFS(Лист2!$E:$E,Лист2!$A:$A,$A289,Лист2!$B:$B,$B289)</f>
        <v>1999</v>
      </c>
      <c r="H289" s="12">
        <f t="shared" si="8"/>
        <v>162586.34210526315</v>
      </c>
      <c r="I289" s="44">
        <f t="shared" si="9"/>
        <v>21</v>
      </c>
      <c r="J289" s="31">
        <v>288</v>
      </c>
      <c r="K289" s="31" t="s">
        <v>57</v>
      </c>
    </row>
    <row r="290" spans="1:11" ht="14.25" customHeight="1" x14ac:dyDescent="0.35">
      <c r="A290" s="9">
        <v>43979</v>
      </c>
      <c r="B290" s="2" t="s">
        <v>19</v>
      </c>
      <c r="C290" s="10">
        <v>13864.5</v>
      </c>
      <c r="D290" s="10">
        <v>1239747</v>
      </c>
      <c r="E290" s="10">
        <f>SUMIFS(Лист2!$C:$C,Лист2!$A:$A,$A290,Лист2!$B:$B,$B290)</f>
        <v>16</v>
      </c>
      <c r="F290" s="10">
        <f>SUMIFS(Лист2!$D:$D,Лист2!$A:$A,$A290,Лист2!$B:$B,$B290)</f>
        <v>876</v>
      </c>
      <c r="G290" s="10">
        <f>SUMIFS(Лист2!$E:$E,Лист2!$A:$A,$A290,Лист2!$B:$B,$B290)</f>
        <v>762</v>
      </c>
      <c r="H290" s="10">
        <f t="shared" si="8"/>
        <v>77484.1875</v>
      </c>
      <c r="I290" s="43">
        <f t="shared" si="9"/>
        <v>22</v>
      </c>
      <c r="J290" s="30">
        <v>289</v>
      </c>
      <c r="K290" s="30" t="s">
        <v>58</v>
      </c>
    </row>
    <row r="291" spans="1:11" ht="14.25" customHeight="1" x14ac:dyDescent="0.35">
      <c r="A291" s="11">
        <v>43976</v>
      </c>
      <c r="B291" s="4" t="s">
        <v>20</v>
      </c>
      <c r="C291" s="12">
        <v>28494</v>
      </c>
      <c r="D291" s="12">
        <v>2512803</v>
      </c>
      <c r="E291" s="12">
        <f>SUMIFS(Лист2!$C:$C,Лист2!$A:$A,$A291,Лист2!$B:$B,$B291)</f>
        <v>20</v>
      </c>
      <c r="F291" s="12">
        <f>SUMIFS(Лист2!$D:$D,Лист2!$A:$A,$A291,Лист2!$B:$B,$B291)</f>
        <v>1899</v>
      </c>
      <c r="G291" s="12">
        <f>SUMIFS(Лист2!$E:$E,Лист2!$A:$A,$A291,Лист2!$B:$B,$B291)</f>
        <v>1738</v>
      </c>
      <c r="H291" s="12">
        <f t="shared" si="8"/>
        <v>125640.15</v>
      </c>
      <c r="I291" s="44">
        <f t="shared" si="9"/>
        <v>22</v>
      </c>
      <c r="J291" s="31">
        <v>290</v>
      </c>
      <c r="K291" s="31" t="s">
        <v>58</v>
      </c>
    </row>
    <row r="292" spans="1:11" ht="14.25" customHeight="1" x14ac:dyDescent="0.35">
      <c r="A292" s="9">
        <v>43951</v>
      </c>
      <c r="B292" s="2" t="s">
        <v>20</v>
      </c>
      <c r="C292" s="10">
        <v>27883.5</v>
      </c>
      <c r="D292" s="10">
        <v>2560080</v>
      </c>
      <c r="E292" s="10">
        <f>SUMIFS(Лист2!$C:$C,Лист2!$A:$A,$A292,Лист2!$B:$B,$B292)</f>
        <v>19</v>
      </c>
      <c r="F292" s="10">
        <f>SUMIFS(Лист2!$D:$D,Лист2!$A:$A,$A292,Лист2!$B:$B,$B292)</f>
        <v>1662</v>
      </c>
      <c r="G292" s="10">
        <f>SUMIFS(Лист2!$E:$E,Лист2!$A:$A,$A292,Лист2!$B:$B,$B292)</f>
        <v>1506</v>
      </c>
      <c r="H292" s="10">
        <f t="shared" si="8"/>
        <v>134741.05263157896</v>
      </c>
      <c r="I292" s="43">
        <f t="shared" si="9"/>
        <v>18</v>
      </c>
      <c r="J292" s="30">
        <v>291</v>
      </c>
      <c r="K292" s="30" t="s">
        <v>54</v>
      </c>
    </row>
    <row r="293" spans="1:11" ht="14.25" customHeight="1" x14ac:dyDescent="0.35">
      <c r="A293" s="11">
        <v>43961</v>
      </c>
      <c r="B293" s="4" t="s">
        <v>20</v>
      </c>
      <c r="C293" s="12">
        <v>31224</v>
      </c>
      <c r="D293" s="12">
        <v>2767270.5</v>
      </c>
      <c r="E293" s="12">
        <f>SUMIFS(Лист2!$C:$C,Лист2!$A:$A,$A293,Лист2!$B:$B,$B293)</f>
        <v>19</v>
      </c>
      <c r="F293" s="12">
        <f>SUMIFS(Лист2!$D:$D,Лист2!$A:$A,$A293,Лист2!$B:$B,$B293)</f>
        <v>1836</v>
      </c>
      <c r="G293" s="12">
        <f>SUMIFS(Лист2!$E:$E,Лист2!$A:$A,$A293,Лист2!$B:$B,$B293)</f>
        <v>1680</v>
      </c>
      <c r="H293" s="12">
        <f t="shared" si="8"/>
        <v>145645.81578947368</v>
      </c>
      <c r="I293" s="44">
        <f t="shared" si="9"/>
        <v>19</v>
      </c>
      <c r="J293" s="31">
        <v>292</v>
      </c>
      <c r="K293" s="31" t="s">
        <v>55</v>
      </c>
    </row>
    <row r="294" spans="1:11" ht="14.25" customHeight="1" x14ac:dyDescent="0.35">
      <c r="A294" s="9">
        <v>43959</v>
      </c>
      <c r="B294" s="2" t="s">
        <v>20</v>
      </c>
      <c r="C294" s="10">
        <v>25020</v>
      </c>
      <c r="D294" s="10">
        <v>2235960</v>
      </c>
      <c r="E294" s="10">
        <f>SUMIFS(Лист2!$C:$C,Лист2!$A:$A,$A294,Лист2!$B:$B,$B294)</f>
        <v>19</v>
      </c>
      <c r="F294" s="10">
        <f>SUMIFS(Лист2!$D:$D,Лист2!$A:$A,$A294,Лист2!$B:$B,$B294)</f>
        <v>1520</v>
      </c>
      <c r="G294" s="10">
        <f>SUMIFS(Лист2!$E:$E,Лист2!$A:$A,$A294,Лист2!$B:$B,$B294)</f>
        <v>1380</v>
      </c>
      <c r="H294" s="10">
        <f t="shared" si="8"/>
        <v>117682.10526315789</v>
      </c>
      <c r="I294" s="43">
        <f t="shared" si="9"/>
        <v>19</v>
      </c>
      <c r="J294" s="30">
        <v>293</v>
      </c>
      <c r="K294" s="30" t="s">
        <v>55</v>
      </c>
    </row>
    <row r="295" spans="1:11" ht="14.25" customHeight="1" x14ac:dyDescent="0.35">
      <c r="A295" s="11">
        <v>43958</v>
      </c>
      <c r="B295" s="4" t="s">
        <v>20</v>
      </c>
      <c r="C295" s="12">
        <v>26184</v>
      </c>
      <c r="D295" s="12">
        <v>2308336.5</v>
      </c>
      <c r="E295" s="12">
        <f>SUMIFS(Лист2!$C:$C,Лист2!$A:$A,$A295,Лист2!$B:$B,$B295)</f>
        <v>19</v>
      </c>
      <c r="F295" s="12">
        <f>SUMIFS(Лист2!$D:$D,Лист2!$A:$A,$A295,Лист2!$B:$B,$B295)</f>
        <v>1580</v>
      </c>
      <c r="G295" s="12">
        <f>SUMIFS(Лист2!$E:$E,Лист2!$A:$A,$A295,Лист2!$B:$B,$B295)</f>
        <v>1435</v>
      </c>
      <c r="H295" s="12">
        <f t="shared" si="8"/>
        <v>121491.39473684211</v>
      </c>
      <c r="I295" s="44">
        <f t="shared" si="9"/>
        <v>19</v>
      </c>
      <c r="J295" s="31">
        <v>294</v>
      </c>
      <c r="K295" s="31" t="s">
        <v>55</v>
      </c>
    </row>
    <row r="296" spans="1:11" ht="14.25" customHeight="1" x14ac:dyDescent="0.35">
      <c r="A296" s="9">
        <v>43975</v>
      </c>
      <c r="B296" s="2" t="s">
        <v>20</v>
      </c>
      <c r="C296" s="10">
        <v>29824.5</v>
      </c>
      <c r="D296" s="10">
        <v>2526909</v>
      </c>
      <c r="E296" s="10">
        <f>SUMIFS(Лист2!$C:$C,Лист2!$A:$A,$A296,Лист2!$B:$B,$B296)</f>
        <v>19</v>
      </c>
      <c r="F296" s="10">
        <f>SUMIFS(Лист2!$D:$D,Лист2!$A:$A,$A296,Лист2!$B:$B,$B296)</f>
        <v>1868</v>
      </c>
      <c r="G296" s="10">
        <f>SUMIFS(Лист2!$E:$E,Лист2!$A:$A,$A296,Лист2!$B:$B,$B296)</f>
        <v>1706</v>
      </c>
      <c r="H296" s="10">
        <f t="shared" si="8"/>
        <v>132995.21052631579</v>
      </c>
      <c r="I296" s="43">
        <f t="shared" si="9"/>
        <v>21</v>
      </c>
      <c r="J296" s="30">
        <v>295</v>
      </c>
      <c r="K296" s="30" t="s">
        <v>57</v>
      </c>
    </row>
    <row r="297" spans="1:11" ht="14.25" customHeight="1" x14ac:dyDescent="0.35">
      <c r="A297" s="11">
        <v>43950</v>
      </c>
      <c r="B297" s="4" t="s">
        <v>21</v>
      </c>
      <c r="C297" s="12">
        <v>208351.5</v>
      </c>
      <c r="D297" s="12">
        <v>21615333</v>
      </c>
      <c r="E297" s="12">
        <f>SUMIFS(Лист2!$C:$C,Лист2!$A:$A,$A297,Лист2!$B:$B,$B297)</f>
        <v>59</v>
      </c>
      <c r="F297" s="12">
        <f>SUMIFS(Лист2!$D:$D,Лист2!$A:$A,$A297,Лист2!$B:$B,$B297)</f>
        <v>13186</v>
      </c>
      <c r="G297" s="12">
        <f>SUMIFS(Лист2!$E:$E,Лист2!$A:$A,$A297,Лист2!$B:$B,$B297)</f>
        <v>12251</v>
      </c>
      <c r="H297" s="12">
        <f t="shared" si="8"/>
        <v>366361.57627118647</v>
      </c>
      <c r="I297" s="44">
        <f t="shared" si="9"/>
        <v>18</v>
      </c>
      <c r="J297" s="31">
        <v>296</v>
      </c>
      <c r="K297" s="31" t="s">
        <v>54</v>
      </c>
    </row>
    <row r="298" spans="1:11" ht="14.25" customHeight="1" x14ac:dyDescent="0.35">
      <c r="A298" s="9">
        <v>43949</v>
      </c>
      <c r="B298" s="2" t="s">
        <v>21</v>
      </c>
      <c r="C298" s="10">
        <v>204637.5</v>
      </c>
      <c r="D298" s="10">
        <v>21114898.5</v>
      </c>
      <c r="E298" s="10">
        <f>SUMIFS(Лист2!$C:$C,Лист2!$A:$A,$A298,Лист2!$B:$B,$B298)</f>
        <v>59</v>
      </c>
      <c r="F298" s="10">
        <f>SUMIFS(Лист2!$D:$D,Лист2!$A:$A,$A298,Лист2!$B:$B,$B298)</f>
        <v>12943</v>
      </c>
      <c r="G298" s="10">
        <f>SUMIFS(Лист2!$E:$E,Лист2!$A:$A,$A298,Лист2!$B:$B,$B298)</f>
        <v>12072</v>
      </c>
      <c r="H298" s="10">
        <f t="shared" si="8"/>
        <v>357879.63559322036</v>
      </c>
      <c r="I298" s="43">
        <f t="shared" si="9"/>
        <v>18</v>
      </c>
      <c r="J298" s="30">
        <v>297</v>
      </c>
      <c r="K298" s="30" t="s">
        <v>54</v>
      </c>
    </row>
    <row r="299" spans="1:11" ht="14.25" customHeight="1" x14ac:dyDescent="0.35">
      <c r="A299" s="11">
        <v>43982</v>
      </c>
      <c r="B299" s="4" t="s">
        <v>20</v>
      </c>
      <c r="C299" s="12">
        <v>31372.5</v>
      </c>
      <c r="D299" s="12">
        <v>2794324.5</v>
      </c>
      <c r="E299" s="12">
        <f>SUMIFS(Лист2!$C:$C,Лист2!$A:$A,$A299,Лист2!$B:$B,$B299)</f>
        <v>21</v>
      </c>
      <c r="F299" s="12">
        <f>SUMIFS(Лист2!$D:$D,Лист2!$A:$A,$A299,Лист2!$B:$B,$B299)</f>
        <v>2056</v>
      </c>
      <c r="G299" s="12">
        <f>SUMIFS(Лист2!$E:$E,Лист2!$A:$A,$A299,Лист2!$B:$B,$B299)</f>
        <v>1879</v>
      </c>
      <c r="H299" s="12">
        <f t="shared" si="8"/>
        <v>133063.07142857142</v>
      </c>
      <c r="I299" s="44">
        <f t="shared" si="9"/>
        <v>22</v>
      </c>
      <c r="J299" s="31">
        <v>298</v>
      </c>
      <c r="K299" s="31" t="s">
        <v>58</v>
      </c>
    </row>
    <row r="300" spans="1:11" ht="14.25" customHeight="1" x14ac:dyDescent="0.35">
      <c r="A300" s="9">
        <v>43981</v>
      </c>
      <c r="B300" s="2" t="s">
        <v>20</v>
      </c>
      <c r="C300" s="10">
        <v>34681.5</v>
      </c>
      <c r="D300" s="10">
        <v>3005334</v>
      </c>
      <c r="E300" s="10">
        <f>SUMIFS(Лист2!$C:$C,Лист2!$A:$A,$A300,Лист2!$B:$B,$B300)</f>
        <v>20</v>
      </c>
      <c r="F300" s="10">
        <f>SUMIFS(Лист2!$D:$D,Лист2!$A:$A,$A300,Лист2!$B:$B,$B300)</f>
        <v>2174</v>
      </c>
      <c r="G300" s="10">
        <f>SUMIFS(Лист2!$E:$E,Лист2!$A:$A,$A300,Лист2!$B:$B,$B300)</f>
        <v>1957</v>
      </c>
      <c r="H300" s="10">
        <f t="shared" si="8"/>
        <v>150266.70000000001</v>
      </c>
      <c r="I300" s="43">
        <f t="shared" si="9"/>
        <v>22</v>
      </c>
      <c r="J300" s="30">
        <v>299</v>
      </c>
      <c r="K300" s="30" t="s">
        <v>58</v>
      </c>
    </row>
    <row r="301" spans="1:11" ht="14.25" customHeight="1" x14ac:dyDescent="0.35">
      <c r="A301" s="11">
        <v>43979</v>
      </c>
      <c r="B301" s="4" t="s">
        <v>20</v>
      </c>
      <c r="C301" s="12">
        <v>28197</v>
      </c>
      <c r="D301" s="12">
        <v>2559211.5</v>
      </c>
      <c r="E301" s="12">
        <f>SUMIFS(Лист2!$C:$C,Лист2!$A:$A,$A301,Лист2!$B:$B,$B301)</f>
        <v>20</v>
      </c>
      <c r="F301" s="12">
        <f>SUMIFS(Лист2!$D:$D,Лист2!$A:$A,$A301,Лист2!$B:$B,$B301)</f>
        <v>1875</v>
      </c>
      <c r="G301" s="12">
        <f>SUMIFS(Лист2!$E:$E,Лист2!$A:$A,$A301,Лист2!$B:$B,$B301)</f>
        <v>1701</v>
      </c>
      <c r="H301" s="12">
        <f t="shared" si="8"/>
        <v>127960.575</v>
      </c>
      <c r="I301" s="44">
        <f t="shared" si="9"/>
        <v>22</v>
      </c>
      <c r="J301" s="31">
        <v>300</v>
      </c>
      <c r="K301" s="31" t="s">
        <v>58</v>
      </c>
    </row>
    <row r="302" spans="1:11" ht="14.25" customHeight="1" x14ac:dyDescent="0.35">
      <c r="A302" s="9">
        <v>43967</v>
      </c>
      <c r="B302" s="2" t="s">
        <v>21</v>
      </c>
      <c r="C302" s="10">
        <v>236551.5</v>
      </c>
      <c r="D302" s="10">
        <v>23689383</v>
      </c>
      <c r="E302" s="10">
        <f>SUMIFS(Лист2!$C:$C,Лист2!$A:$A,$A302,Лист2!$B:$B,$B302)</f>
        <v>60</v>
      </c>
      <c r="F302" s="10">
        <f>SUMIFS(Лист2!$D:$D,Лист2!$A:$A,$A302,Лист2!$B:$B,$B302)</f>
        <v>14049</v>
      </c>
      <c r="G302" s="10">
        <f>SUMIFS(Лист2!$E:$E,Лист2!$A:$A,$A302,Лист2!$B:$B,$B302)</f>
        <v>13118</v>
      </c>
      <c r="H302" s="10">
        <f t="shared" si="8"/>
        <v>394823.05</v>
      </c>
      <c r="I302" s="43">
        <f t="shared" si="9"/>
        <v>20</v>
      </c>
      <c r="J302" s="30">
        <v>301</v>
      </c>
      <c r="K302" s="30" t="s">
        <v>56</v>
      </c>
    </row>
    <row r="303" spans="1:11" ht="14.25" customHeight="1" x14ac:dyDescent="0.35">
      <c r="A303" s="11">
        <v>43970</v>
      </c>
      <c r="B303" s="4" t="s">
        <v>21</v>
      </c>
      <c r="C303" s="12">
        <v>223597.5</v>
      </c>
      <c r="D303" s="12">
        <v>21945858</v>
      </c>
      <c r="E303" s="12">
        <f>SUMIFS(Лист2!$C:$C,Лист2!$A:$A,$A303,Лист2!$B:$B,$B303)</f>
        <v>60</v>
      </c>
      <c r="F303" s="12">
        <f>SUMIFS(Лист2!$D:$D,Лист2!$A:$A,$A303,Лист2!$B:$B,$B303)</f>
        <v>13867</v>
      </c>
      <c r="G303" s="12">
        <f>SUMIFS(Лист2!$E:$E,Лист2!$A:$A,$A303,Лист2!$B:$B,$B303)</f>
        <v>12987</v>
      </c>
      <c r="H303" s="12">
        <f t="shared" si="8"/>
        <v>365764.3</v>
      </c>
      <c r="I303" s="44">
        <f t="shared" si="9"/>
        <v>21</v>
      </c>
      <c r="J303" s="31">
        <v>302</v>
      </c>
      <c r="K303" s="31" t="s">
        <v>57</v>
      </c>
    </row>
    <row r="304" spans="1:11" ht="14.25" customHeight="1" x14ac:dyDescent="0.35">
      <c r="A304" s="9">
        <v>43968</v>
      </c>
      <c r="B304" s="2" t="s">
        <v>21</v>
      </c>
      <c r="C304" s="10">
        <v>193363.5</v>
      </c>
      <c r="D304" s="10">
        <v>19546386</v>
      </c>
      <c r="E304" s="10">
        <f>SUMIFS(Лист2!$C:$C,Лист2!$A:$A,$A304,Лист2!$B:$B,$B304)</f>
        <v>60</v>
      </c>
      <c r="F304" s="10">
        <f>SUMIFS(Лист2!$D:$D,Лист2!$A:$A,$A304,Лист2!$B:$B,$B304)</f>
        <v>11698</v>
      </c>
      <c r="G304" s="10">
        <f>SUMIFS(Лист2!$E:$E,Лист2!$A:$A,$A304,Лист2!$B:$B,$B304)</f>
        <v>10989</v>
      </c>
      <c r="H304" s="10">
        <f t="shared" si="8"/>
        <v>325773.09999999998</v>
      </c>
      <c r="I304" s="43">
        <f t="shared" si="9"/>
        <v>20</v>
      </c>
      <c r="J304" s="30">
        <v>303</v>
      </c>
      <c r="K304" s="30" t="s">
        <v>56</v>
      </c>
    </row>
    <row r="305" spans="1:11" ht="14.25" customHeight="1" x14ac:dyDescent="0.35">
      <c r="A305" s="11">
        <v>43960</v>
      </c>
      <c r="B305" s="4" t="s">
        <v>21</v>
      </c>
      <c r="C305" s="12">
        <v>188319</v>
      </c>
      <c r="D305" s="12">
        <v>19218631.5</v>
      </c>
      <c r="E305" s="12">
        <f>SUMIFS(Лист2!$C:$C,Лист2!$A:$A,$A305,Лист2!$B:$B,$B305)</f>
        <v>59</v>
      </c>
      <c r="F305" s="12">
        <f>SUMIFS(Лист2!$D:$D,Лист2!$A:$A,$A305,Лист2!$B:$B,$B305)</f>
        <v>12016</v>
      </c>
      <c r="G305" s="12">
        <f>SUMIFS(Лист2!$E:$E,Лист2!$A:$A,$A305,Лист2!$B:$B,$B305)</f>
        <v>11137</v>
      </c>
      <c r="H305" s="12">
        <f t="shared" si="8"/>
        <v>325739.51694915252</v>
      </c>
      <c r="I305" s="44">
        <f t="shared" si="9"/>
        <v>19</v>
      </c>
      <c r="J305" s="31">
        <v>304</v>
      </c>
      <c r="K305" s="31" t="s">
        <v>55</v>
      </c>
    </row>
    <row r="306" spans="1:11" ht="14.25" customHeight="1" x14ac:dyDescent="0.35">
      <c r="A306" s="9">
        <v>43955</v>
      </c>
      <c r="B306" s="2" t="s">
        <v>21</v>
      </c>
      <c r="C306" s="10">
        <v>237544.5</v>
      </c>
      <c r="D306" s="10">
        <v>24292218</v>
      </c>
      <c r="E306" s="10">
        <f>SUMIFS(Лист2!$C:$C,Лист2!$A:$A,$A306,Лист2!$B:$B,$B306)</f>
        <v>59</v>
      </c>
      <c r="F306" s="10">
        <f>SUMIFS(Лист2!$D:$D,Лист2!$A:$A,$A306,Лист2!$B:$B,$B306)</f>
        <v>14423</v>
      </c>
      <c r="G306" s="10">
        <f>SUMIFS(Лист2!$E:$E,Лист2!$A:$A,$A306,Лист2!$B:$B,$B306)</f>
        <v>13432</v>
      </c>
      <c r="H306" s="10">
        <f t="shared" si="8"/>
        <v>411732.50847457629</v>
      </c>
      <c r="I306" s="43">
        <f t="shared" si="9"/>
        <v>19</v>
      </c>
      <c r="J306" s="30">
        <v>305</v>
      </c>
      <c r="K306" s="30" t="s">
        <v>55</v>
      </c>
    </row>
    <row r="307" spans="1:11" ht="14.25" customHeight="1" x14ac:dyDescent="0.35">
      <c r="A307" s="11">
        <v>43950</v>
      </c>
      <c r="B307" s="4" t="s">
        <v>22</v>
      </c>
      <c r="C307" s="12">
        <v>203209.5</v>
      </c>
      <c r="D307" s="12">
        <v>20871391.5</v>
      </c>
      <c r="E307" s="12">
        <f>SUMIFS(Лист2!$C:$C,Лист2!$A:$A,$A307,Лист2!$B:$B,$B307)</f>
        <v>54</v>
      </c>
      <c r="F307" s="12">
        <f>SUMIFS(Лист2!$D:$D,Лист2!$A:$A,$A307,Лист2!$B:$B,$B307)</f>
        <v>12747</v>
      </c>
      <c r="G307" s="12">
        <f>SUMIFS(Лист2!$E:$E,Лист2!$A:$A,$A307,Лист2!$B:$B,$B307)</f>
        <v>11884</v>
      </c>
      <c r="H307" s="12">
        <f t="shared" si="8"/>
        <v>386507.25</v>
      </c>
      <c r="I307" s="44">
        <f t="shared" si="9"/>
        <v>18</v>
      </c>
      <c r="J307" s="31">
        <v>306</v>
      </c>
      <c r="K307" s="31" t="s">
        <v>54</v>
      </c>
    </row>
    <row r="308" spans="1:11" ht="14.25" customHeight="1" x14ac:dyDescent="0.35">
      <c r="A308" s="9">
        <v>43953</v>
      </c>
      <c r="B308" s="2" t="s">
        <v>21</v>
      </c>
      <c r="C308" s="10">
        <v>185979</v>
      </c>
      <c r="D308" s="10">
        <v>19625364</v>
      </c>
      <c r="E308" s="10">
        <f>SUMIFS(Лист2!$C:$C,Лист2!$A:$A,$A308,Лист2!$B:$B,$B308)</f>
        <v>59</v>
      </c>
      <c r="F308" s="10">
        <f>SUMIFS(Лист2!$D:$D,Лист2!$A:$A,$A308,Лист2!$B:$B,$B308)</f>
        <v>12429</v>
      </c>
      <c r="G308" s="10">
        <f>SUMIFS(Лист2!$E:$E,Лист2!$A:$A,$A308,Лист2!$B:$B,$B308)</f>
        <v>11477</v>
      </c>
      <c r="H308" s="10">
        <f t="shared" si="8"/>
        <v>332633.28813559323</v>
      </c>
      <c r="I308" s="43">
        <f t="shared" si="9"/>
        <v>18</v>
      </c>
      <c r="J308" s="30">
        <v>307</v>
      </c>
      <c r="K308" s="30" t="s">
        <v>54</v>
      </c>
    </row>
    <row r="309" spans="1:11" ht="14.25" customHeight="1" x14ac:dyDescent="0.35">
      <c r="A309" s="11">
        <v>43977</v>
      </c>
      <c r="B309" s="4" t="s">
        <v>21</v>
      </c>
      <c r="C309" s="12">
        <v>244905</v>
      </c>
      <c r="D309" s="12">
        <v>25163431.5</v>
      </c>
      <c r="E309" s="12">
        <f>SUMIFS(Лист2!$C:$C,Лист2!$A:$A,$A309,Лист2!$B:$B,$B309)</f>
        <v>59</v>
      </c>
      <c r="F309" s="12">
        <f>SUMIFS(Лист2!$D:$D,Лист2!$A:$A,$A309,Лист2!$B:$B,$B309)</f>
        <v>15369</v>
      </c>
      <c r="G309" s="12">
        <f>SUMIFS(Лист2!$E:$E,Лист2!$A:$A,$A309,Лист2!$B:$B,$B309)</f>
        <v>14299</v>
      </c>
      <c r="H309" s="12">
        <f t="shared" si="8"/>
        <v>426498.83898305084</v>
      </c>
      <c r="I309" s="44">
        <f t="shared" si="9"/>
        <v>22</v>
      </c>
      <c r="J309" s="31">
        <v>308</v>
      </c>
      <c r="K309" s="31" t="s">
        <v>58</v>
      </c>
    </row>
    <row r="310" spans="1:11" ht="14.25" customHeight="1" x14ac:dyDescent="0.35">
      <c r="A310" s="9">
        <v>43952</v>
      </c>
      <c r="B310" s="2" t="s">
        <v>21</v>
      </c>
      <c r="C310" s="10">
        <v>239409</v>
      </c>
      <c r="D310" s="10">
        <v>25413351</v>
      </c>
      <c r="E310" s="10">
        <f>SUMIFS(Лист2!$C:$C,Лист2!$A:$A,$A310,Лист2!$B:$B,$B310)</f>
        <v>59</v>
      </c>
      <c r="F310" s="10">
        <f>SUMIFS(Лист2!$D:$D,Лист2!$A:$A,$A310,Лист2!$B:$B,$B310)</f>
        <v>15222</v>
      </c>
      <c r="G310" s="10">
        <f>SUMIFS(Лист2!$E:$E,Лист2!$A:$A,$A310,Лист2!$B:$B,$B310)</f>
        <v>13873</v>
      </c>
      <c r="H310" s="10">
        <f t="shared" si="8"/>
        <v>430734.76271186443</v>
      </c>
      <c r="I310" s="43">
        <f t="shared" si="9"/>
        <v>18</v>
      </c>
      <c r="J310" s="30">
        <v>309</v>
      </c>
      <c r="K310" s="30" t="s">
        <v>54</v>
      </c>
    </row>
    <row r="311" spans="1:11" ht="14.25" customHeight="1" x14ac:dyDescent="0.35">
      <c r="A311" s="11">
        <v>43963</v>
      </c>
      <c r="B311" s="4" t="s">
        <v>21</v>
      </c>
      <c r="C311" s="12">
        <v>192886.5</v>
      </c>
      <c r="D311" s="12">
        <v>19205179.5</v>
      </c>
      <c r="E311" s="12">
        <f>SUMIFS(Лист2!$C:$C,Лист2!$A:$A,$A311,Лист2!$B:$B,$B311)</f>
        <v>60</v>
      </c>
      <c r="F311" s="12">
        <f>SUMIFS(Лист2!$D:$D,Лист2!$A:$A,$A311,Лист2!$B:$B,$B311)</f>
        <v>12000</v>
      </c>
      <c r="G311" s="12">
        <f>SUMIFS(Лист2!$E:$E,Лист2!$A:$A,$A311,Лист2!$B:$B,$B311)</f>
        <v>11194</v>
      </c>
      <c r="H311" s="12">
        <f t="shared" si="8"/>
        <v>320086.32500000001</v>
      </c>
      <c r="I311" s="44">
        <f t="shared" si="9"/>
        <v>20</v>
      </c>
      <c r="J311" s="31">
        <v>310</v>
      </c>
      <c r="K311" s="31" t="s">
        <v>56</v>
      </c>
    </row>
    <row r="312" spans="1:11" ht="14.25" customHeight="1" x14ac:dyDescent="0.35">
      <c r="A312" s="9">
        <v>43972</v>
      </c>
      <c r="B312" s="2" t="s">
        <v>21</v>
      </c>
      <c r="C312" s="10">
        <v>224233.5</v>
      </c>
      <c r="D312" s="10">
        <v>22253295</v>
      </c>
      <c r="E312" s="10">
        <f>SUMIFS(Лист2!$C:$C,Лист2!$A:$A,$A312,Лист2!$B:$B,$B312)</f>
        <v>60</v>
      </c>
      <c r="F312" s="10">
        <f>SUMIFS(Лист2!$D:$D,Лист2!$A:$A,$A312,Лист2!$B:$B,$B312)</f>
        <v>14005</v>
      </c>
      <c r="G312" s="10">
        <f>SUMIFS(Лист2!$E:$E,Лист2!$A:$A,$A312,Лист2!$B:$B,$B312)</f>
        <v>13002</v>
      </c>
      <c r="H312" s="10">
        <f t="shared" si="8"/>
        <v>370888.25</v>
      </c>
      <c r="I312" s="43">
        <f t="shared" si="9"/>
        <v>21</v>
      </c>
      <c r="J312" s="30">
        <v>311</v>
      </c>
      <c r="K312" s="30" t="s">
        <v>57</v>
      </c>
    </row>
    <row r="313" spans="1:11" ht="14.25" customHeight="1" x14ac:dyDescent="0.35">
      <c r="A313" s="11">
        <v>43971</v>
      </c>
      <c r="B313" s="4" t="s">
        <v>21</v>
      </c>
      <c r="C313" s="12">
        <v>219622.5</v>
      </c>
      <c r="D313" s="12">
        <v>21959286</v>
      </c>
      <c r="E313" s="12">
        <f>SUMIFS(Лист2!$C:$C,Лист2!$A:$A,$A313,Лист2!$B:$B,$B313)</f>
        <v>60</v>
      </c>
      <c r="F313" s="12">
        <f>SUMIFS(Лист2!$D:$D,Лист2!$A:$A,$A313,Лист2!$B:$B,$B313)</f>
        <v>13792</v>
      </c>
      <c r="G313" s="12">
        <f>SUMIFS(Лист2!$E:$E,Лист2!$A:$A,$A313,Лист2!$B:$B,$B313)</f>
        <v>12834</v>
      </c>
      <c r="H313" s="12">
        <f t="shared" si="8"/>
        <v>365988.1</v>
      </c>
      <c r="I313" s="44">
        <f t="shared" si="9"/>
        <v>21</v>
      </c>
      <c r="J313" s="31">
        <v>312</v>
      </c>
      <c r="K313" s="31" t="s">
        <v>57</v>
      </c>
    </row>
    <row r="314" spans="1:11" ht="14.25" customHeight="1" x14ac:dyDescent="0.35">
      <c r="A314" s="9">
        <v>43956</v>
      </c>
      <c r="B314" s="2" t="s">
        <v>21</v>
      </c>
      <c r="C314" s="10">
        <v>213582</v>
      </c>
      <c r="D314" s="10">
        <v>21919435.5</v>
      </c>
      <c r="E314" s="10">
        <f>SUMIFS(Лист2!$C:$C,Лист2!$A:$A,$A314,Лист2!$B:$B,$B314)</f>
        <v>59</v>
      </c>
      <c r="F314" s="10">
        <f>SUMIFS(Лист2!$D:$D,Лист2!$A:$A,$A314,Лист2!$B:$B,$B314)</f>
        <v>13469</v>
      </c>
      <c r="G314" s="10">
        <f>SUMIFS(Лист2!$E:$E,Лист2!$A:$A,$A314,Лист2!$B:$B,$B314)</f>
        <v>12486</v>
      </c>
      <c r="H314" s="10">
        <f t="shared" si="8"/>
        <v>371515.85593220341</v>
      </c>
      <c r="I314" s="43">
        <f t="shared" si="9"/>
        <v>19</v>
      </c>
      <c r="J314" s="30">
        <v>313</v>
      </c>
      <c r="K314" s="30" t="s">
        <v>55</v>
      </c>
    </row>
    <row r="315" spans="1:11" ht="14.25" customHeight="1" x14ac:dyDescent="0.35">
      <c r="A315" s="11">
        <v>43949</v>
      </c>
      <c r="B315" s="4" t="s">
        <v>22</v>
      </c>
      <c r="C315" s="12">
        <v>195705</v>
      </c>
      <c r="D315" s="12">
        <v>20003263.5</v>
      </c>
      <c r="E315" s="12">
        <f>SUMIFS(Лист2!$C:$C,Лист2!$A:$A,$A315,Лист2!$B:$B,$B315)</f>
        <v>54</v>
      </c>
      <c r="F315" s="12">
        <f>SUMIFS(Лист2!$D:$D,Лист2!$A:$A,$A315,Лист2!$B:$B,$B315)</f>
        <v>12306</v>
      </c>
      <c r="G315" s="12">
        <f>SUMIFS(Лист2!$E:$E,Лист2!$A:$A,$A315,Лист2!$B:$B,$B315)</f>
        <v>11532</v>
      </c>
      <c r="H315" s="12">
        <f t="shared" si="8"/>
        <v>370430.80555555556</v>
      </c>
      <c r="I315" s="44">
        <f t="shared" si="9"/>
        <v>18</v>
      </c>
      <c r="J315" s="31">
        <v>314</v>
      </c>
      <c r="K315" s="31" t="s">
        <v>54</v>
      </c>
    </row>
    <row r="316" spans="1:11" ht="14.25" customHeight="1" x14ac:dyDescent="0.35">
      <c r="A316" s="9">
        <v>43964</v>
      </c>
      <c r="B316" s="2" t="s">
        <v>21</v>
      </c>
      <c r="C316" s="10">
        <v>193722</v>
      </c>
      <c r="D316" s="10">
        <v>19437273</v>
      </c>
      <c r="E316" s="10">
        <f>SUMIFS(Лист2!$C:$C,Лист2!$A:$A,$A316,Лист2!$B:$B,$B316)</f>
        <v>60</v>
      </c>
      <c r="F316" s="10">
        <f>SUMIFS(Лист2!$D:$D,Лист2!$A:$A,$A316,Лист2!$B:$B,$B316)</f>
        <v>12007</v>
      </c>
      <c r="G316" s="10">
        <f>SUMIFS(Лист2!$E:$E,Лист2!$A:$A,$A316,Лист2!$B:$B,$B316)</f>
        <v>11245</v>
      </c>
      <c r="H316" s="10">
        <f t="shared" si="8"/>
        <v>323954.55</v>
      </c>
      <c r="I316" s="43">
        <f t="shared" si="9"/>
        <v>20</v>
      </c>
      <c r="J316" s="30">
        <v>315</v>
      </c>
      <c r="K316" s="30" t="s">
        <v>56</v>
      </c>
    </row>
    <row r="317" spans="1:11" ht="14.25" customHeight="1" x14ac:dyDescent="0.35">
      <c r="A317" s="11">
        <v>43954</v>
      </c>
      <c r="B317" s="4" t="s">
        <v>21</v>
      </c>
      <c r="C317" s="12">
        <v>257215.5</v>
      </c>
      <c r="D317" s="12">
        <v>26492278.5</v>
      </c>
      <c r="E317" s="12">
        <f>SUMIFS(Лист2!$C:$C,Лист2!$A:$A,$A317,Лист2!$B:$B,$B317)</f>
        <v>59</v>
      </c>
      <c r="F317" s="12">
        <f>SUMIFS(Лист2!$D:$D,Лист2!$A:$A,$A317,Лист2!$B:$B,$B317)</f>
        <v>15277</v>
      </c>
      <c r="G317" s="12">
        <f>SUMIFS(Лист2!$E:$E,Лист2!$A:$A,$A317,Лист2!$B:$B,$B317)</f>
        <v>14163</v>
      </c>
      <c r="H317" s="12">
        <f t="shared" si="8"/>
        <v>449021.66949152545</v>
      </c>
      <c r="I317" s="44">
        <f t="shared" si="9"/>
        <v>18</v>
      </c>
      <c r="J317" s="31">
        <v>316</v>
      </c>
      <c r="K317" s="31" t="s">
        <v>54</v>
      </c>
    </row>
    <row r="318" spans="1:11" ht="14.25" customHeight="1" x14ac:dyDescent="0.35">
      <c r="A318" s="9">
        <v>43957</v>
      </c>
      <c r="B318" s="2" t="s">
        <v>21</v>
      </c>
      <c r="C318" s="10">
        <v>224779.5</v>
      </c>
      <c r="D318" s="10">
        <v>23032992</v>
      </c>
      <c r="E318" s="10">
        <f>SUMIFS(Лист2!$C:$C,Лист2!$A:$A,$A318,Лист2!$B:$B,$B318)</f>
        <v>59</v>
      </c>
      <c r="F318" s="10">
        <f>SUMIFS(Лист2!$D:$D,Лист2!$A:$A,$A318,Лист2!$B:$B,$B318)</f>
        <v>14103</v>
      </c>
      <c r="G318" s="10">
        <f>SUMIFS(Лист2!$E:$E,Лист2!$A:$A,$A318,Лист2!$B:$B,$B318)</f>
        <v>13118</v>
      </c>
      <c r="H318" s="10">
        <f t="shared" si="8"/>
        <v>390389.69491525425</v>
      </c>
      <c r="I318" s="43">
        <f t="shared" si="9"/>
        <v>19</v>
      </c>
      <c r="J318" s="30">
        <v>317</v>
      </c>
      <c r="K318" s="30" t="s">
        <v>55</v>
      </c>
    </row>
    <row r="319" spans="1:11" ht="14.25" customHeight="1" x14ac:dyDescent="0.35">
      <c r="A319" s="11">
        <v>43974</v>
      </c>
      <c r="B319" s="4" t="s">
        <v>21</v>
      </c>
      <c r="C319" s="12">
        <v>292018.5</v>
      </c>
      <c r="D319" s="12">
        <v>28590910.5</v>
      </c>
      <c r="E319" s="12">
        <f>SUMIFS(Лист2!$C:$C,Лист2!$A:$A,$A319,Лист2!$B:$B,$B319)</f>
        <v>60</v>
      </c>
      <c r="F319" s="12">
        <f>SUMIFS(Лист2!$D:$D,Лист2!$A:$A,$A319,Лист2!$B:$B,$B319)</f>
        <v>17295</v>
      </c>
      <c r="G319" s="12">
        <f>SUMIFS(Лист2!$E:$E,Лист2!$A:$A,$A319,Лист2!$B:$B,$B319)</f>
        <v>16010</v>
      </c>
      <c r="H319" s="12">
        <f t="shared" si="8"/>
        <v>476515.17499999999</v>
      </c>
      <c r="I319" s="44">
        <f t="shared" si="9"/>
        <v>21</v>
      </c>
      <c r="J319" s="31">
        <v>318</v>
      </c>
      <c r="K319" s="31" t="s">
        <v>57</v>
      </c>
    </row>
    <row r="320" spans="1:11" ht="14.25" customHeight="1" x14ac:dyDescent="0.35">
      <c r="A320" s="9">
        <v>43976</v>
      </c>
      <c r="B320" s="2" t="s">
        <v>21</v>
      </c>
      <c r="C320" s="10">
        <v>198751.5</v>
      </c>
      <c r="D320" s="10">
        <v>20582743.5</v>
      </c>
      <c r="E320" s="10">
        <f>SUMIFS(Лист2!$C:$C,Лист2!$A:$A,$A320,Лист2!$B:$B,$B320)</f>
        <v>59</v>
      </c>
      <c r="F320" s="10">
        <f>SUMIFS(Лист2!$D:$D,Лист2!$A:$A,$A320,Лист2!$B:$B,$B320)</f>
        <v>12983</v>
      </c>
      <c r="G320" s="10">
        <f>SUMIFS(Лист2!$E:$E,Лист2!$A:$A,$A320,Лист2!$B:$B,$B320)</f>
        <v>12056</v>
      </c>
      <c r="H320" s="10">
        <f t="shared" si="8"/>
        <v>348860.05932203389</v>
      </c>
      <c r="I320" s="43">
        <f t="shared" si="9"/>
        <v>22</v>
      </c>
      <c r="J320" s="30">
        <v>319</v>
      </c>
      <c r="K320" s="30" t="s">
        <v>58</v>
      </c>
    </row>
    <row r="321" spans="1:11" ht="14.25" customHeight="1" x14ac:dyDescent="0.35">
      <c r="A321" s="11">
        <v>43951</v>
      </c>
      <c r="B321" s="4" t="s">
        <v>21</v>
      </c>
      <c r="C321" s="12">
        <v>214386</v>
      </c>
      <c r="D321" s="12">
        <v>22530000</v>
      </c>
      <c r="E321" s="12">
        <f>SUMIFS(Лист2!$C:$C,Лист2!$A:$A,$A321,Лист2!$B:$B,$B321)</f>
        <v>59</v>
      </c>
      <c r="F321" s="12">
        <f>SUMIFS(Лист2!$D:$D,Лист2!$A:$A,$A321,Лист2!$B:$B,$B321)</f>
        <v>13251</v>
      </c>
      <c r="G321" s="12">
        <f>SUMIFS(Лист2!$E:$E,Лист2!$A:$A,$A321,Лист2!$B:$B,$B321)</f>
        <v>12255</v>
      </c>
      <c r="H321" s="12">
        <f t="shared" si="8"/>
        <v>381864.40677966102</v>
      </c>
      <c r="I321" s="44">
        <f t="shared" si="9"/>
        <v>18</v>
      </c>
      <c r="J321" s="31">
        <v>320</v>
      </c>
      <c r="K321" s="31" t="s">
        <v>54</v>
      </c>
    </row>
    <row r="322" spans="1:11" ht="14.25" customHeight="1" x14ac:dyDescent="0.35">
      <c r="A322" s="9">
        <v>43961</v>
      </c>
      <c r="B322" s="2" t="s">
        <v>21</v>
      </c>
      <c r="C322" s="10">
        <v>243825</v>
      </c>
      <c r="D322" s="10">
        <v>24890404.5</v>
      </c>
      <c r="E322" s="10">
        <f>SUMIFS(Лист2!$C:$C,Лист2!$A:$A,$A322,Лист2!$B:$B,$B322)</f>
        <v>59</v>
      </c>
      <c r="F322" s="10">
        <f>SUMIFS(Лист2!$D:$D,Лист2!$A:$A,$A322,Лист2!$B:$B,$B322)</f>
        <v>14569</v>
      </c>
      <c r="G322" s="10">
        <f>SUMIFS(Лист2!$E:$E,Лист2!$A:$A,$A322,Лист2!$B:$B,$B322)</f>
        <v>13566</v>
      </c>
      <c r="H322" s="10">
        <f t="shared" ref="H322:H385" si="10">IFERROR($D322/$E322,0)</f>
        <v>421871.26271186443</v>
      </c>
      <c r="I322" s="43">
        <f t="shared" ref="I322:I385" si="11">WEEKNUM($A322,21)</f>
        <v>19</v>
      </c>
      <c r="J322" s="30">
        <v>321</v>
      </c>
      <c r="K322" s="30" t="s">
        <v>55</v>
      </c>
    </row>
    <row r="323" spans="1:11" ht="14.25" customHeight="1" x14ac:dyDescent="0.35">
      <c r="A323" s="11">
        <v>43959</v>
      </c>
      <c r="B323" s="4" t="s">
        <v>21</v>
      </c>
      <c r="C323" s="12">
        <v>232701</v>
      </c>
      <c r="D323" s="12">
        <v>23881948.5</v>
      </c>
      <c r="E323" s="12">
        <f>SUMIFS(Лист2!$C:$C,Лист2!$A:$A,$A323,Лист2!$B:$B,$B323)</f>
        <v>59</v>
      </c>
      <c r="F323" s="12">
        <f>SUMIFS(Лист2!$D:$D,Лист2!$A:$A,$A323,Лист2!$B:$B,$B323)</f>
        <v>14098</v>
      </c>
      <c r="G323" s="12">
        <f>SUMIFS(Лист2!$E:$E,Лист2!$A:$A,$A323,Лист2!$B:$B,$B323)</f>
        <v>13106</v>
      </c>
      <c r="H323" s="12">
        <f t="shared" si="10"/>
        <v>404778.78813559323</v>
      </c>
      <c r="I323" s="44">
        <f t="shared" si="11"/>
        <v>19</v>
      </c>
      <c r="J323" s="31">
        <v>322</v>
      </c>
      <c r="K323" s="31" t="s">
        <v>55</v>
      </c>
    </row>
    <row r="324" spans="1:11" ht="14.25" customHeight="1" x14ac:dyDescent="0.35">
      <c r="A324" s="9">
        <v>43958</v>
      </c>
      <c r="B324" s="2" t="s">
        <v>21</v>
      </c>
      <c r="C324" s="10">
        <v>219411</v>
      </c>
      <c r="D324" s="10">
        <v>22460130</v>
      </c>
      <c r="E324" s="10">
        <f>SUMIFS(Лист2!$C:$C,Лист2!$A:$A,$A324,Лист2!$B:$B,$B324)</f>
        <v>59</v>
      </c>
      <c r="F324" s="10">
        <f>SUMIFS(Лист2!$D:$D,Лист2!$A:$A,$A324,Лист2!$B:$B,$B324)</f>
        <v>13495</v>
      </c>
      <c r="G324" s="10">
        <f>SUMIFS(Лист2!$E:$E,Лист2!$A:$A,$A324,Лист2!$B:$B,$B324)</f>
        <v>12517</v>
      </c>
      <c r="H324" s="10">
        <f t="shared" si="10"/>
        <v>380680.16949152545</v>
      </c>
      <c r="I324" s="43">
        <f t="shared" si="11"/>
        <v>19</v>
      </c>
      <c r="J324" s="30">
        <v>323</v>
      </c>
      <c r="K324" s="30" t="s">
        <v>55</v>
      </c>
    </row>
    <row r="325" spans="1:11" ht="14.25" customHeight="1" x14ac:dyDescent="0.35">
      <c r="A325" s="11">
        <v>43975</v>
      </c>
      <c r="B325" s="4" t="s">
        <v>21</v>
      </c>
      <c r="C325" s="12">
        <v>200029.5</v>
      </c>
      <c r="D325" s="12">
        <v>19959801</v>
      </c>
      <c r="E325" s="12">
        <f>SUMIFS(Лист2!$C:$C,Лист2!$A:$A,$A325,Лист2!$B:$B,$B325)</f>
        <v>60</v>
      </c>
      <c r="F325" s="12">
        <f>SUMIFS(Лист2!$D:$D,Лист2!$A:$A,$A325,Лист2!$B:$B,$B325)</f>
        <v>12822</v>
      </c>
      <c r="G325" s="12">
        <f>SUMIFS(Лист2!$E:$E,Лист2!$A:$A,$A325,Лист2!$B:$B,$B325)</f>
        <v>11916</v>
      </c>
      <c r="H325" s="12">
        <f t="shared" si="10"/>
        <v>332663.34999999998</v>
      </c>
      <c r="I325" s="44">
        <f t="shared" si="11"/>
        <v>21</v>
      </c>
      <c r="J325" s="31">
        <v>324</v>
      </c>
      <c r="K325" s="31" t="s">
        <v>57</v>
      </c>
    </row>
    <row r="326" spans="1:11" ht="14.25" customHeight="1" x14ac:dyDescent="0.35">
      <c r="A326" s="9">
        <v>43967</v>
      </c>
      <c r="B326" s="2" t="s">
        <v>22</v>
      </c>
      <c r="C326" s="10">
        <v>225480</v>
      </c>
      <c r="D326" s="10">
        <v>22355338.5</v>
      </c>
      <c r="E326" s="10">
        <f>SUMIFS(Лист2!$C:$C,Лист2!$A:$A,$A326,Лист2!$B:$B,$B326)</f>
        <v>54</v>
      </c>
      <c r="F326" s="10">
        <f>SUMIFS(Лист2!$D:$D,Лист2!$A:$A,$A326,Лист2!$B:$B,$B326)</f>
        <v>13170</v>
      </c>
      <c r="G326" s="10">
        <f>SUMIFS(Лист2!$E:$E,Лист2!$A:$A,$A326,Лист2!$B:$B,$B326)</f>
        <v>12299</v>
      </c>
      <c r="H326" s="10">
        <f t="shared" si="10"/>
        <v>413987.75</v>
      </c>
      <c r="I326" s="43">
        <f t="shared" si="11"/>
        <v>20</v>
      </c>
      <c r="J326" s="30">
        <v>325</v>
      </c>
      <c r="K326" s="30" t="s">
        <v>56</v>
      </c>
    </row>
    <row r="327" spans="1:11" ht="14.25" customHeight="1" x14ac:dyDescent="0.35">
      <c r="A327" s="11">
        <v>43970</v>
      </c>
      <c r="B327" s="4" t="s">
        <v>22</v>
      </c>
      <c r="C327" s="12">
        <v>211453.5</v>
      </c>
      <c r="D327" s="12">
        <v>20590072.5</v>
      </c>
      <c r="E327" s="12">
        <f>SUMIFS(Лист2!$C:$C,Лист2!$A:$A,$A327,Лист2!$B:$B,$B327)</f>
        <v>54</v>
      </c>
      <c r="F327" s="12">
        <f>SUMIFS(Лист2!$D:$D,Лист2!$A:$A,$A327,Лист2!$B:$B,$B327)</f>
        <v>13070</v>
      </c>
      <c r="G327" s="12">
        <f>SUMIFS(Лист2!$E:$E,Лист2!$A:$A,$A327,Лист2!$B:$B,$B327)</f>
        <v>12244</v>
      </c>
      <c r="H327" s="12">
        <f t="shared" si="10"/>
        <v>381297.63888888888</v>
      </c>
      <c r="I327" s="44">
        <f t="shared" si="11"/>
        <v>21</v>
      </c>
      <c r="J327" s="31">
        <v>326</v>
      </c>
      <c r="K327" s="31" t="s">
        <v>57</v>
      </c>
    </row>
    <row r="328" spans="1:11" ht="14.25" customHeight="1" x14ac:dyDescent="0.35">
      <c r="A328" s="9">
        <v>43968</v>
      </c>
      <c r="B328" s="2" t="s">
        <v>22</v>
      </c>
      <c r="C328" s="10">
        <v>184801.5</v>
      </c>
      <c r="D328" s="10">
        <v>18449091</v>
      </c>
      <c r="E328" s="10">
        <f>SUMIFS(Лист2!$C:$C,Лист2!$A:$A,$A328,Лист2!$B:$B,$B328)</f>
        <v>54</v>
      </c>
      <c r="F328" s="10">
        <f>SUMIFS(Лист2!$D:$D,Лист2!$A:$A,$A328,Лист2!$B:$B,$B328)</f>
        <v>11128</v>
      </c>
      <c r="G328" s="10">
        <f>SUMIFS(Лист2!$E:$E,Лист2!$A:$A,$A328,Лист2!$B:$B,$B328)</f>
        <v>10467</v>
      </c>
      <c r="H328" s="10">
        <f t="shared" si="10"/>
        <v>341649.83333333331</v>
      </c>
      <c r="I328" s="43">
        <f t="shared" si="11"/>
        <v>20</v>
      </c>
      <c r="J328" s="30">
        <v>327</v>
      </c>
      <c r="K328" s="30" t="s">
        <v>56</v>
      </c>
    </row>
    <row r="329" spans="1:11" ht="14.25" customHeight="1" x14ac:dyDescent="0.35">
      <c r="A329" s="11">
        <v>43960</v>
      </c>
      <c r="B329" s="4" t="s">
        <v>22</v>
      </c>
      <c r="C329" s="12">
        <v>177976.5</v>
      </c>
      <c r="D329" s="12">
        <v>18085798.5</v>
      </c>
      <c r="E329" s="12">
        <f>SUMIFS(Лист2!$C:$C,Лист2!$A:$A,$A329,Лист2!$B:$B,$B329)</f>
        <v>54</v>
      </c>
      <c r="F329" s="12">
        <f>SUMIFS(Лист2!$D:$D,Лист2!$A:$A,$A329,Лист2!$B:$B,$B329)</f>
        <v>11288</v>
      </c>
      <c r="G329" s="12">
        <f>SUMIFS(Лист2!$E:$E,Лист2!$A:$A,$A329,Лист2!$B:$B,$B329)</f>
        <v>10492</v>
      </c>
      <c r="H329" s="12">
        <f t="shared" si="10"/>
        <v>334922.19444444444</v>
      </c>
      <c r="I329" s="44">
        <f t="shared" si="11"/>
        <v>19</v>
      </c>
      <c r="J329" s="31">
        <v>328</v>
      </c>
      <c r="K329" s="31" t="s">
        <v>55</v>
      </c>
    </row>
    <row r="330" spans="1:11" ht="14.25" customHeight="1" x14ac:dyDescent="0.35">
      <c r="A330" s="9">
        <v>43955</v>
      </c>
      <c r="B330" s="2" t="s">
        <v>22</v>
      </c>
      <c r="C330" s="10">
        <v>223617</v>
      </c>
      <c r="D330" s="10">
        <v>22796827.5</v>
      </c>
      <c r="E330" s="10">
        <f>SUMIFS(Лист2!$C:$C,Лист2!$A:$A,$A330,Лист2!$B:$B,$B330)</f>
        <v>54</v>
      </c>
      <c r="F330" s="10">
        <f>SUMIFS(Лист2!$D:$D,Лист2!$A:$A,$A330,Лист2!$B:$B,$B330)</f>
        <v>13606</v>
      </c>
      <c r="G330" s="10">
        <f>SUMIFS(Лист2!$E:$E,Лист2!$A:$A,$A330,Лист2!$B:$B,$B330)</f>
        <v>12697</v>
      </c>
      <c r="H330" s="10">
        <f t="shared" si="10"/>
        <v>422163.47222222225</v>
      </c>
      <c r="I330" s="43">
        <f t="shared" si="11"/>
        <v>19</v>
      </c>
      <c r="J330" s="30">
        <v>329</v>
      </c>
      <c r="K330" s="30" t="s">
        <v>55</v>
      </c>
    </row>
    <row r="331" spans="1:11" ht="14.25" customHeight="1" x14ac:dyDescent="0.35">
      <c r="A331" s="11">
        <v>43953</v>
      </c>
      <c r="B331" s="4" t="s">
        <v>22</v>
      </c>
      <c r="C331" s="12">
        <v>176397</v>
      </c>
      <c r="D331" s="12">
        <v>18625921.5</v>
      </c>
      <c r="E331" s="12">
        <f>SUMIFS(Лист2!$C:$C,Лист2!$A:$A,$A331,Лист2!$B:$B,$B331)</f>
        <v>54</v>
      </c>
      <c r="F331" s="12">
        <f>SUMIFS(Лист2!$D:$D,Лист2!$A:$A,$A331,Лист2!$B:$B,$B331)</f>
        <v>11622</v>
      </c>
      <c r="G331" s="12">
        <f>SUMIFS(Лист2!$E:$E,Лист2!$A:$A,$A331,Лист2!$B:$B,$B331)</f>
        <v>10754</v>
      </c>
      <c r="H331" s="12">
        <f t="shared" si="10"/>
        <v>344924.47222222225</v>
      </c>
      <c r="I331" s="44">
        <f t="shared" si="11"/>
        <v>18</v>
      </c>
      <c r="J331" s="31">
        <v>330</v>
      </c>
      <c r="K331" s="31" t="s">
        <v>54</v>
      </c>
    </row>
    <row r="332" spans="1:11" ht="14.25" customHeight="1" x14ac:dyDescent="0.35">
      <c r="A332" s="9">
        <v>43977</v>
      </c>
      <c r="B332" s="2" t="s">
        <v>22</v>
      </c>
      <c r="C332" s="10">
        <v>232369.5</v>
      </c>
      <c r="D332" s="10">
        <v>23856345</v>
      </c>
      <c r="E332" s="10">
        <f>SUMIFS(Лист2!$C:$C,Лист2!$A:$A,$A332,Лист2!$B:$B,$B332)</f>
        <v>54</v>
      </c>
      <c r="F332" s="10">
        <f>SUMIFS(Лист2!$D:$D,Лист2!$A:$A,$A332,Лист2!$B:$B,$B332)</f>
        <v>14482</v>
      </c>
      <c r="G332" s="10">
        <f>SUMIFS(Лист2!$E:$E,Лист2!$A:$A,$A332,Лист2!$B:$B,$B332)</f>
        <v>13510</v>
      </c>
      <c r="H332" s="10">
        <f t="shared" si="10"/>
        <v>441784.16666666669</v>
      </c>
      <c r="I332" s="43">
        <f t="shared" si="11"/>
        <v>22</v>
      </c>
      <c r="J332" s="30">
        <v>331</v>
      </c>
      <c r="K332" s="30" t="s">
        <v>58</v>
      </c>
    </row>
    <row r="333" spans="1:11" ht="14.25" customHeight="1" x14ac:dyDescent="0.35">
      <c r="A333" s="11">
        <v>43952</v>
      </c>
      <c r="B333" s="4" t="s">
        <v>22</v>
      </c>
      <c r="C333" s="12">
        <v>226540.5</v>
      </c>
      <c r="D333" s="12">
        <v>23953536</v>
      </c>
      <c r="E333" s="12">
        <f>SUMIFS(Лист2!$C:$C,Лист2!$A:$A,$A333,Лист2!$B:$B,$B333)</f>
        <v>54</v>
      </c>
      <c r="F333" s="12">
        <f>SUMIFS(Лист2!$D:$D,Лист2!$A:$A,$A333,Лист2!$B:$B,$B333)</f>
        <v>14205</v>
      </c>
      <c r="G333" s="12">
        <f>SUMIFS(Лист2!$E:$E,Лист2!$A:$A,$A333,Лист2!$B:$B,$B333)</f>
        <v>13026</v>
      </c>
      <c r="H333" s="12">
        <f t="shared" si="10"/>
        <v>443584</v>
      </c>
      <c r="I333" s="44">
        <f t="shared" si="11"/>
        <v>18</v>
      </c>
      <c r="J333" s="31">
        <v>332</v>
      </c>
      <c r="K333" s="31" t="s">
        <v>54</v>
      </c>
    </row>
    <row r="334" spans="1:11" ht="14.25" customHeight="1" x14ac:dyDescent="0.35">
      <c r="A334" s="9">
        <v>43963</v>
      </c>
      <c r="B334" s="2" t="s">
        <v>22</v>
      </c>
      <c r="C334" s="10">
        <v>189679.5</v>
      </c>
      <c r="D334" s="10">
        <v>18718036.5</v>
      </c>
      <c r="E334" s="10">
        <f>SUMIFS(Лист2!$C:$C,Лист2!$A:$A,$A334,Лист2!$B:$B,$B334)</f>
        <v>54</v>
      </c>
      <c r="F334" s="10">
        <f>SUMIFS(Лист2!$D:$D,Лист2!$A:$A,$A334,Лист2!$B:$B,$B334)</f>
        <v>11614</v>
      </c>
      <c r="G334" s="10">
        <f>SUMIFS(Лист2!$E:$E,Лист2!$A:$A,$A334,Лист2!$B:$B,$B334)</f>
        <v>10862</v>
      </c>
      <c r="H334" s="10">
        <f t="shared" si="10"/>
        <v>346630.30555555556</v>
      </c>
      <c r="I334" s="43">
        <f t="shared" si="11"/>
        <v>20</v>
      </c>
      <c r="J334" s="30">
        <v>333</v>
      </c>
      <c r="K334" s="30" t="s">
        <v>56</v>
      </c>
    </row>
    <row r="335" spans="1:11" ht="14.25" customHeight="1" x14ac:dyDescent="0.35">
      <c r="A335" s="11">
        <v>43972</v>
      </c>
      <c r="B335" s="4" t="s">
        <v>22</v>
      </c>
      <c r="C335" s="12">
        <v>213640.5</v>
      </c>
      <c r="D335" s="12">
        <v>21042673.5</v>
      </c>
      <c r="E335" s="12">
        <f>SUMIFS(Лист2!$C:$C,Лист2!$A:$A,$A335,Лист2!$B:$B,$B335)</f>
        <v>54</v>
      </c>
      <c r="F335" s="12">
        <f>SUMIFS(Лист2!$D:$D,Лист2!$A:$A,$A335,Лист2!$B:$B,$B335)</f>
        <v>13240</v>
      </c>
      <c r="G335" s="12">
        <f>SUMIFS(Лист2!$E:$E,Лист2!$A:$A,$A335,Лист2!$B:$B,$B335)</f>
        <v>12360</v>
      </c>
      <c r="H335" s="12">
        <f t="shared" si="10"/>
        <v>389679.13888888888</v>
      </c>
      <c r="I335" s="44">
        <f t="shared" si="11"/>
        <v>21</v>
      </c>
      <c r="J335" s="31">
        <v>334</v>
      </c>
      <c r="K335" s="31" t="s">
        <v>57</v>
      </c>
    </row>
    <row r="336" spans="1:11" ht="14.25" customHeight="1" x14ac:dyDescent="0.35">
      <c r="A336" s="9">
        <v>43971</v>
      </c>
      <c r="B336" s="2" t="s">
        <v>22</v>
      </c>
      <c r="C336" s="10">
        <v>214885.5</v>
      </c>
      <c r="D336" s="10">
        <v>21411349.5</v>
      </c>
      <c r="E336" s="10">
        <f>SUMIFS(Лист2!$C:$C,Лист2!$A:$A,$A336,Лист2!$B:$B,$B336)</f>
        <v>54</v>
      </c>
      <c r="F336" s="10">
        <f>SUMIFS(Лист2!$D:$D,Лист2!$A:$A,$A336,Лист2!$B:$B,$B336)</f>
        <v>13298</v>
      </c>
      <c r="G336" s="10">
        <f>SUMIFS(Лист2!$E:$E,Лист2!$A:$A,$A336,Лист2!$B:$B,$B336)</f>
        <v>12428</v>
      </c>
      <c r="H336" s="10">
        <f t="shared" si="10"/>
        <v>396506.47222222225</v>
      </c>
      <c r="I336" s="43">
        <f t="shared" si="11"/>
        <v>21</v>
      </c>
      <c r="J336" s="30">
        <v>335</v>
      </c>
      <c r="K336" s="30" t="s">
        <v>57</v>
      </c>
    </row>
    <row r="337" spans="1:11" ht="14.25" customHeight="1" x14ac:dyDescent="0.35">
      <c r="A337" s="11">
        <v>43956</v>
      </c>
      <c r="B337" s="4" t="s">
        <v>22</v>
      </c>
      <c r="C337" s="12">
        <v>203832</v>
      </c>
      <c r="D337" s="12">
        <v>20880142.5</v>
      </c>
      <c r="E337" s="12">
        <f>SUMIFS(Лист2!$C:$C,Лист2!$A:$A,$A337,Лист2!$B:$B,$B337)</f>
        <v>54</v>
      </c>
      <c r="F337" s="12">
        <f>SUMIFS(Лист2!$D:$D,Лист2!$A:$A,$A337,Лист2!$B:$B,$B337)</f>
        <v>12775</v>
      </c>
      <c r="G337" s="12">
        <f>SUMIFS(Лист2!$E:$E,Лист2!$A:$A,$A337,Лист2!$B:$B,$B337)</f>
        <v>11887</v>
      </c>
      <c r="H337" s="12">
        <f t="shared" si="10"/>
        <v>386669.30555555556</v>
      </c>
      <c r="I337" s="44">
        <f t="shared" si="11"/>
        <v>19</v>
      </c>
      <c r="J337" s="31">
        <v>336</v>
      </c>
      <c r="K337" s="31" t="s">
        <v>55</v>
      </c>
    </row>
    <row r="338" spans="1:11" ht="14.25" customHeight="1" x14ac:dyDescent="0.35">
      <c r="A338" s="9">
        <v>43964</v>
      </c>
      <c r="B338" s="2" t="s">
        <v>22</v>
      </c>
      <c r="C338" s="10">
        <v>188662.5</v>
      </c>
      <c r="D338" s="10">
        <v>18784000.5</v>
      </c>
      <c r="E338" s="10">
        <f>SUMIFS(Лист2!$C:$C,Лист2!$A:$A,$A338,Лист2!$B:$B,$B338)</f>
        <v>54</v>
      </c>
      <c r="F338" s="10">
        <f>SUMIFS(Лист2!$D:$D,Лист2!$A:$A,$A338,Лист2!$B:$B,$B338)</f>
        <v>11522</v>
      </c>
      <c r="G338" s="10">
        <f>SUMIFS(Лист2!$E:$E,Лист2!$A:$A,$A338,Лист2!$B:$B,$B338)</f>
        <v>10803</v>
      </c>
      <c r="H338" s="10">
        <f t="shared" si="10"/>
        <v>347851.86111111112</v>
      </c>
      <c r="I338" s="43">
        <f t="shared" si="11"/>
        <v>20</v>
      </c>
      <c r="J338" s="30">
        <v>337</v>
      </c>
      <c r="K338" s="30" t="s">
        <v>56</v>
      </c>
    </row>
    <row r="339" spans="1:11" ht="14.25" customHeight="1" x14ac:dyDescent="0.35">
      <c r="A339" s="11">
        <v>43982</v>
      </c>
      <c r="B339" s="4" t="s">
        <v>21</v>
      </c>
      <c r="C339" s="12">
        <v>215277</v>
      </c>
      <c r="D339" s="12">
        <v>21585316.5</v>
      </c>
      <c r="E339" s="12">
        <f>SUMIFS(Лист2!$C:$C,Лист2!$A:$A,$A339,Лист2!$B:$B,$B339)</f>
        <v>59</v>
      </c>
      <c r="F339" s="12">
        <f>SUMIFS(Лист2!$D:$D,Лист2!$A:$A,$A339,Лист2!$B:$B,$B339)</f>
        <v>13684</v>
      </c>
      <c r="G339" s="12">
        <f>SUMIFS(Лист2!$E:$E,Лист2!$A:$A,$A339,Лист2!$B:$B,$B339)</f>
        <v>12690</v>
      </c>
      <c r="H339" s="12">
        <f t="shared" si="10"/>
        <v>365852.82203389832</v>
      </c>
      <c r="I339" s="44">
        <f t="shared" si="11"/>
        <v>22</v>
      </c>
      <c r="J339" s="31">
        <v>338</v>
      </c>
      <c r="K339" s="31" t="s">
        <v>58</v>
      </c>
    </row>
    <row r="340" spans="1:11" ht="14.25" customHeight="1" x14ac:dyDescent="0.35">
      <c r="A340" s="9">
        <v>43954</v>
      </c>
      <c r="B340" s="2" t="s">
        <v>22</v>
      </c>
      <c r="C340" s="10">
        <v>248148</v>
      </c>
      <c r="D340" s="10">
        <v>25519072.5</v>
      </c>
      <c r="E340" s="10">
        <f>SUMIFS(Лист2!$C:$C,Лист2!$A:$A,$A340,Лист2!$B:$B,$B340)</f>
        <v>54</v>
      </c>
      <c r="F340" s="10">
        <f>SUMIFS(Лист2!$D:$D,Лист2!$A:$A,$A340,Лист2!$B:$B,$B340)</f>
        <v>14823</v>
      </c>
      <c r="G340" s="10">
        <f>SUMIFS(Лист2!$E:$E,Лист2!$A:$A,$A340,Лист2!$B:$B,$B340)</f>
        <v>13751</v>
      </c>
      <c r="H340" s="10">
        <f t="shared" si="10"/>
        <v>472575.41666666669</v>
      </c>
      <c r="I340" s="43">
        <f t="shared" si="11"/>
        <v>18</v>
      </c>
      <c r="J340" s="30">
        <v>339</v>
      </c>
      <c r="K340" s="30" t="s">
        <v>54</v>
      </c>
    </row>
    <row r="341" spans="1:11" ht="14.25" customHeight="1" x14ac:dyDescent="0.35">
      <c r="A341" s="11">
        <v>43981</v>
      </c>
      <c r="B341" s="4" t="s">
        <v>21</v>
      </c>
      <c r="C341" s="12">
        <v>246414</v>
      </c>
      <c r="D341" s="12">
        <v>24527245.5</v>
      </c>
      <c r="E341" s="12">
        <f>SUMIFS(Лист2!$C:$C,Лист2!$A:$A,$A341,Лист2!$B:$B,$B341)</f>
        <v>59</v>
      </c>
      <c r="F341" s="12">
        <f>SUMIFS(Лист2!$D:$D,Лист2!$A:$A,$A341,Лист2!$B:$B,$B341)</f>
        <v>15030</v>
      </c>
      <c r="G341" s="12">
        <f>SUMIFS(Лист2!$E:$E,Лист2!$A:$A,$A341,Лист2!$B:$B,$B341)</f>
        <v>13956</v>
      </c>
      <c r="H341" s="12">
        <f t="shared" si="10"/>
        <v>415716.0254237288</v>
      </c>
      <c r="I341" s="44">
        <f t="shared" si="11"/>
        <v>22</v>
      </c>
      <c r="J341" s="31">
        <v>340</v>
      </c>
      <c r="K341" s="31" t="s">
        <v>58</v>
      </c>
    </row>
    <row r="342" spans="1:11" ht="14.25" customHeight="1" x14ac:dyDescent="0.35">
      <c r="A342" s="9">
        <v>43957</v>
      </c>
      <c r="B342" s="2" t="s">
        <v>22</v>
      </c>
      <c r="C342" s="10">
        <v>216498</v>
      </c>
      <c r="D342" s="10">
        <v>22126444.5</v>
      </c>
      <c r="E342" s="10">
        <f>SUMIFS(Лист2!$C:$C,Лист2!$A:$A,$A342,Лист2!$B:$B,$B342)</f>
        <v>54</v>
      </c>
      <c r="F342" s="10">
        <f>SUMIFS(Лист2!$D:$D,Лист2!$A:$A,$A342,Лист2!$B:$B,$B342)</f>
        <v>13406</v>
      </c>
      <c r="G342" s="10">
        <f>SUMIFS(Лист2!$E:$E,Лист2!$A:$A,$A342,Лист2!$B:$B,$B342)</f>
        <v>12518</v>
      </c>
      <c r="H342" s="10">
        <f t="shared" si="10"/>
        <v>409748.97222222225</v>
      </c>
      <c r="I342" s="43">
        <f t="shared" si="11"/>
        <v>19</v>
      </c>
      <c r="J342" s="30">
        <v>341</v>
      </c>
      <c r="K342" s="30" t="s">
        <v>55</v>
      </c>
    </row>
    <row r="343" spans="1:11" ht="14.25" customHeight="1" x14ac:dyDescent="0.35">
      <c r="A343" s="11">
        <v>43974</v>
      </c>
      <c r="B343" s="4" t="s">
        <v>22</v>
      </c>
      <c r="C343" s="12">
        <v>275793</v>
      </c>
      <c r="D343" s="12">
        <v>26806626</v>
      </c>
      <c r="E343" s="12">
        <f>SUMIFS(Лист2!$C:$C,Лист2!$A:$A,$A343,Лист2!$B:$B,$B343)</f>
        <v>54</v>
      </c>
      <c r="F343" s="12">
        <f>SUMIFS(Лист2!$D:$D,Лист2!$A:$A,$A343,Лист2!$B:$B,$B343)</f>
        <v>16221</v>
      </c>
      <c r="G343" s="12">
        <f>SUMIFS(Лист2!$E:$E,Лист2!$A:$A,$A343,Лист2!$B:$B,$B343)</f>
        <v>15065</v>
      </c>
      <c r="H343" s="12">
        <f t="shared" si="10"/>
        <v>496419</v>
      </c>
      <c r="I343" s="44">
        <f t="shared" si="11"/>
        <v>21</v>
      </c>
      <c r="J343" s="31">
        <v>342</v>
      </c>
      <c r="K343" s="31" t="s">
        <v>57</v>
      </c>
    </row>
    <row r="344" spans="1:11" ht="14.25" customHeight="1" x14ac:dyDescent="0.35">
      <c r="A344" s="9">
        <v>43979</v>
      </c>
      <c r="B344" s="2" t="s">
        <v>21</v>
      </c>
      <c r="C344" s="10">
        <v>199753.5</v>
      </c>
      <c r="D344" s="10">
        <v>20535733.5</v>
      </c>
      <c r="E344" s="10">
        <f>SUMIFS(Лист2!$C:$C,Лист2!$A:$A,$A344,Лист2!$B:$B,$B344)</f>
        <v>60</v>
      </c>
      <c r="F344" s="10">
        <f>SUMIFS(Лист2!$D:$D,Лист2!$A:$A,$A344,Лист2!$B:$B,$B344)</f>
        <v>12854</v>
      </c>
      <c r="G344" s="10">
        <f>SUMIFS(Лист2!$E:$E,Лист2!$A:$A,$A344,Лист2!$B:$B,$B344)</f>
        <v>11954</v>
      </c>
      <c r="H344" s="10">
        <f t="shared" si="10"/>
        <v>342262.22499999998</v>
      </c>
      <c r="I344" s="43">
        <f t="shared" si="11"/>
        <v>22</v>
      </c>
      <c r="J344" s="30">
        <v>343</v>
      </c>
      <c r="K344" s="30" t="s">
        <v>58</v>
      </c>
    </row>
    <row r="345" spans="1:11" ht="14.25" customHeight="1" x14ac:dyDescent="0.35">
      <c r="A345" s="11">
        <v>43976</v>
      </c>
      <c r="B345" s="4" t="s">
        <v>22</v>
      </c>
      <c r="C345" s="12">
        <v>192948</v>
      </c>
      <c r="D345" s="12">
        <v>19806927</v>
      </c>
      <c r="E345" s="12">
        <f>SUMIFS(Лист2!$C:$C,Лист2!$A:$A,$A345,Лист2!$B:$B,$B345)</f>
        <v>54</v>
      </c>
      <c r="F345" s="12">
        <f>SUMIFS(Лист2!$D:$D,Лист2!$A:$A,$A345,Лист2!$B:$B,$B345)</f>
        <v>12336</v>
      </c>
      <c r="G345" s="12">
        <f>SUMIFS(Лист2!$E:$E,Лист2!$A:$A,$A345,Лист2!$B:$B,$B345)</f>
        <v>11519</v>
      </c>
      <c r="H345" s="12">
        <f t="shared" si="10"/>
        <v>366794.94444444444</v>
      </c>
      <c r="I345" s="44">
        <f t="shared" si="11"/>
        <v>22</v>
      </c>
      <c r="J345" s="31">
        <v>344</v>
      </c>
      <c r="K345" s="31" t="s">
        <v>58</v>
      </c>
    </row>
    <row r="346" spans="1:11" ht="14.25" customHeight="1" x14ac:dyDescent="0.35">
      <c r="A346" s="9">
        <v>43951</v>
      </c>
      <c r="B346" s="2" t="s">
        <v>22</v>
      </c>
      <c r="C346" s="10">
        <v>206038.5</v>
      </c>
      <c r="D346" s="10">
        <v>21740460</v>
      </c>
      <c r="E346" s="10">
        <f>SUMIFS(Лист2!$C:$C,Лист2!$A:$A,$A346,Лист2!$B:$B,$B346)</f>
        <v>54</v>
      </c>
      <c r="F346" s="10">
        <f>SUMIFS(Лист2!$D:$D,Лист2!$A:$A,$A346,Лист2!$B:$B,$B346)</f>
        <v>12817</v>
      </c>
      <c r="G346" s="10">
        <f>SUMIFS(Лист2!$E:$E,Лист2!$A:$A,$A346,Лист2!$B:$B,$B346)</f>
        <v>11865</v>
      </c>
      <c r="H346" s="10">
        <f t="shared" si="10"/>
        <v>402601.11111111112</v>
      </c>
      <c r="I346" s="43">
        <f t="shared" si="11"/>
        <v>18</v>
      </c>
      <c r="J346" s="30">
        <v>345</v>
      </c>
      <c r="K346" s="30" t="s">
        <v>54</v>
      </c>
    </row>
    <row r="347" spans="1:11" ht="14.25" customHeight="1" x14ac:dyDescent="0.35">
      <c r="A347" s="11">
        <v>43961</v>
      </c>
      <c r="B347" s="4" t="s">
        <v>22</v>
      </c>
      <c r="C347" s="12">
        <v>231559.5</v>
      </c>
      <c r="D347" s="12">
        <v>23443725</v>
      </c>
      <c r="E347" s="12">
        <f>SUMIFS(Лист2!$C:$C,Лист2!$A:$A,$A347,Лист2!$B:$B,$B347)</f>
        <v>54</v>
      </c>
      <c r="F347" s="12">
        <f>SUMIFS(Лист2!$D:$D,Лист2!$A:$A,$A347,Лист2!$B:$B,$B347)</f>
        <v>13832</v>
      </c>
      <c r="G347" s="12">
        <f>SUMIFS(Лист2!$E:$E,Лист2!$A:$A,$A347,Лист2!$B:$B,$B347)</f>
        <v>12864</v>
      </c>
      <c r="H347" s="12">
        <f t="shared" si="10"/>
        <v>434143.05555555556</v>
      </c>
      <c r="I347" s="44">
        <f t="shared" si="11"/>
        <v>19</v>
      </c>
      <c r="J347" s="31">
        <v>346</v>
      </c>
      <c r="K347" s="31" t="s">
        <v>55</v>
      </c>
    </row>
    <row r="348" spans="1:11" ht="14.25" customHeight="1" x14ac:dyDescent="0.35">
      <c r="A348" s="9">
        <v>43959</v>
      </c>
      <c r="B348" s="2" t="s">
        <v>22</v>
      </c>
      <c r="C348" s="10">
        <v>225076.5</v>
      </c>
      <c r="D348" s="10">
        <v>22846078.5</v>
      </c>
      <c r="E348" s="10">
        <f>SUMIFS(Лист2!$C:$C,Лист2!$A:$A,$A348,Лист2!$B:$B,$B348)</f>
        <v>54</v>
      </c>
      <c r="F348" s="10">
        <f>SUMIFS(Лист2!$D:$D,Лист2!$A:$A,$A348,Лист2!$B:$B,$B348)</f>
        <v>13563</v>
      </c>
      <c r="G348" s="10">
        <f>SUMIFS(Лист2!$E:$E,Лист2!$A:$A,$A348,Лист2!$B:$B,$B348)</f>
        <v>12604</v>
      </c>
      <c r="H348" s="10">
        <f t="shared" si="10"/>
        <v>423075.52777777775</v>
      </c>
      <c r="I348" s="43">
        <f t="shared" si="11"/>
        <v>19</v>
      </c>
      <c r="J348" s="30">
        <v>347</v>
      </c>
      <c r="K348" s="30" t="s">
        <v>55</v>
      </c>
    </row>
    <row r="349" spans="1:11" ht="14.25" customHeight="1" x14ac:dyDescent="0.35">
      <c r="A349" s="11">
        <v>43958</v>
      </c>
      <c r="B349" s="4" t="s">
        <v>22</v>
      </c>
      <c r="C349" s="12">
        <v>209415</v>
      </c>
      <c r="D349" s="12">
        <v>21463023</v>
      </c>
      <c r="E349" s="12">
        <f>SUMIFS(Лист2!$C:$C,Лист2!$A:$A,$A349,Лист2!$B:$B,$B349)</f>
        <v>54</v>
      </c>
      <c r="F349" s="12">
        <f>SUMIFS(Лист2!$D:$D,Лист2!$A:$A,$A349,Лист2!$B:$B,$B349)</f>
        <v>12743</v>
      </c>
      <c r="G349" s="12">
        <f>SUMIFS(Лист2!$E:$E,Лист2!$A:$A,$A349,Лист2!$B:$B,$B349)</f>
        <v>11858</v>
      </c>
      <c r="H349" s="12">
        <f t="shared" si="10"/>
        <v>397463.38888888888</v>
      </c>
      <c r="I349" s="44">
        <f t="shared" si="11"/>
        <v>19</v>
      </c>
      <c r="J349" s="31">
        <v>348</v>
      </c>
      <c r="K349" s="31" t="s">
        <v>55</v>
      </c>
    </row>
    <row r="350" spans="1:11" ht="14.25" customHeight="1" x14ac:dyDescent="0.35">
      <c r="A350" s="9">
        <v>43975</v>
      </c>
      <c r="B350" s="2" t="s">
        <v>22</v>
      </c>
      <c r="C350" s="10">
        <v>193719</v>
      </c>
      <c r="D350" s="10">
        <v>19071117</v>
      </c>
      <c r="E350" s="10">
        <f>SUMIFS(Лист2!$C:$C,Лист2!$A:$A,$A350,Лист2!$B:$B,$B350)</f>
        <v>54</v>
      </c>
      <c r="F350" s="10">
        <f>SUMIFS(Лист2!$D:$D,Лист2!$A:$A,$A350,Лист2!$B:$B,$B350)</f>
        <v>12211</v>
      </c>
      <c r="G350" s="10">
        <f>SUMIFS(Лист2!$E:$E,Лист2!$A:$A,$A350,Лист2!$B:$B,$B350)</f>
        <v>11427</v>
      </c>
      <c r="H350" s="10">
        <f t="shared" si="10"/>
        <v>353168.83333333331</v>
      </c>
      <c r="I350" s="43">
        <f t="shared" si="11"/>
        <v>21</v>
      </c>
      <c r="J350" s="30">
        <v>349</v>
      </c>
      <c r="K350" s="30" t="s">
        <v>57</v>
      </c>
    </row>
    <row r="351" spans="1:11" ht="14.25" customHeight="1" x14ac:dyDescent="0.35">
      <c r="A351" s="11">
        <v>43950</v>
      </c>
      <c r="B351" s="4" t="s">
        <v>23</v>
      </c>
      <c r="C351" s="12">
        <v>12250.5</v>
      </c>
      <c r="D351" s="12">
        <v>981519</v>
      </c>
      <c r="E351" s="12">
        <f>SUMIFS(Лист2!$C:$C,Лист2!$A:$A,$A351,Лист2!$B:$B,$B351)</f>
        <v>15</v>
      </c>
      <c r="F351" s="12">
        <f>SUMIFS(Лист2!$D:$D,Лист2!$A:$A,$A351,Лист2!$B:$B,$B351)</f>
        <v>659</v>
      </c>
      <c r="G351" s="12">
        <f>SUMIFS(Лист2!$E:$E,Лист2!$A:$A,$A351,Лист2!$B:$B,$B351)</f>
        <v>575</v>
      </c>
      <c r="H351" s="12">
        <f t="shared" si="10"/>
        <v>65434.6</v>
      </c>
      <c r="I351" s="44">
        <f t="shared" si="11"/>
        <v>18</v>
      </c>
      <c r="J351" s="31">
        <v>350</v>
      </c>
      <c r="K351" s="31" t="s">
        <v>54</v>
      </c>
    </row>
    <row r="352" spans="1:11" ht="14.25" customHeight="1" x14ac:dyDescent="0.35">
      <c r="A352" s="9">
        <v>43949</v>
      </c>
      <c r="B352" s="2" t="s">
        <v>23</v>
      </c>
      <c r="C352" s="10">
        <v>12541.5</v>
      </c>
      <c r="D352" s="10">
        <v>992541</v>
      </c>
      <c r="E352" s="10">
        <f>SUMIFS(Лист2!$C:$C,Лист2!$A:$A,$A352,Лист2!$B:$B,$B352)</f>
        <v>15</v>
      </c>
      <c r="F352" s="10">
        <f>SUMIFS(Лист2!$D:$D,Лист2!$A:$A,$A352,Лист2!$B:$B,$B352)</f>
        <v>636</v>
      </c>
      <c r="G352" s="10">
        <f>SUMIFS(Лист2!$E:$E,Лист2!$A:$A,$A352,Лист2!$B:$B,$B352)</f>
        <v>547</v>
      </c>
      <c r="H352" s="10">
        <f t="shared" si="10"/>
        <v>66169.399999999994</v>
      </c>
      <c r="I352" s="43">
        <f t="shared" si="11"/>
        <v>18</v>
      </c>
      <c r="J352" s="30">
        <v>351</v>
      </c>
      <c r="K352" s="30" t="s">
        <v>54</v>
      </c>
    </row>
    <row r="353" spans="1:11" ht="14.25" customHeight="1" x14ac:dyDescent="0.35">
      <c r="A353" s="11">
        <v>43982</v>
      </c>
      <c r="B353" s="4" t="s">
        <v>22</v>
      </c>
      <c r="C353" s="12">
        <v>206758.5</v>
      </c>
      <c r="D353" s="12">
        <v>20717248.5</v>
      </c>
      <c r="E353" s="12">
        <f>SUMIFS(Лист2!$C:$C,Лист2!$A:$A,$A353,Лист2!$B:$B,$B353)</f>
        <v>54</v>
      </c>
      <c r="F353" s="12">
        <f>SUMIFS(Лист2!$D:$D,Лист2!$A:$A,$A353,Лист2!$B:$B,$B353)</f>
        <v>13106</v>
      </c>
      <c r="G353" s="12">
        <f>SUMIFS(Лист2!$E:$E,Лист2!$A:$A,$A353,Лист2!$B:$B,$B353)</f>
        <v>12164</v>
      </c>
      <c r="H353" s="12">
        <f t="shared" si="10"/>
        <v>383652.75</v>
      </c>
      <c r="I353" s="44">
        <f t="shared" si="11"/>
        <v>22</v>
      </c>
      <c r="J353" s="31">
        <v>352</v>
      </c>
      <c r="K353" s="31" t="s">
        <v>58</v>
      </c>
    </row>
    <row r="354" spans="1:11" ht="14.25" customHeight="1" x14ac:dyDescent="0.35">
      <c r="A354" s="9">
        <v>43981</v>
      </c>
      <c r="B354" s="2" t="s">
        <v>22</v>
      </c>
      <c r="C354" s="10">
        <v>244734</v>
      </c>
      <c r="D354" s="10">
        <v>24151980</v>
      </c>
      <c r="E354" s="10">
        <f>SUMIFS(Лист2!$C:$C,Лист2!$A:$A,$A354,Лист2!$B:$B,$B354)</f>
        <v>54</v>
      </c>
      <c r="F354" s="10">
        <f>SUMIFS(Лист2!$D:$D,Лист2!$A:$A,$A354,Лист2!$B:$B,$B354)</f>
        <v>14590</v>
      </c>
      <c r="G354" s="10">
        <f>SUMIFS(Лист2!$E:$E,Лист2!$A:$A,$A354,Лист2!$B:$B,$B354)</f>
        <v>13551</v>
      </c>
      <c r="H354" s="10">
        <f t="shared" si="10"/>
        <v>447258.88888888888</v>
      </c>
      <c r="I354" s="43">
        <f t="shared" si="11"/>
        <v>22</v>
      </c>
      <c r="J354" s="30">
        <v>353</v>
      </c>
      <c r="K354" s="30" t="s">
        <v>58</v>
      </c>
    </row>
    <row r="355" spans="1:11" ht="14.25" customHeight="1" x14ac:dyDescent="0.35">
      <c r="A355" s="11">
        <v>43979</v>
      </c>
      <c r="B355" s="4" t="s">
        <v>22</v>
      </c>
      <c r="C355" s="12">
        <v>191641.5</v>
      </c>
      <c r="D355" s="12">
        <v>19549036.5</v>
      </c>
      <c r="E355" s="12">
        <f>SUMIFS(Лист2!$C:$C,Лист2!$A:$A,$A355,Лист2!$B:$B,$B355)</f>
        <v>54</v>
      </c>
      <c r="F355" s="12">
        <f>SUMIFS(Лист2!$D:$D,Лист2!$A:$A,$A355,Лист2!$B:$B,$B355)</f>
        <v>12409</v>
      </c>
      <c r="G355" s="12">
        <f>SUMIFS(Лист2!$E:$E,Лист2!$A:$A,$A355,Лист2!$B:$B,$B355)</f>
        <v>11582</v>
      </c>
      <c r="H355" s="12">
        <f t="shared" si="10"/>
        <v>362019.19444444444</v>
      </c>
      <c r="I355" s="44">
        <f t="shared" si="11"/>
        <v>22</v>
      </c>
      <c r="J355" s="31">
        <v>354</v>
      </c>
      <c r="K355" s="31" t="s">
        <v>58</v>
      </c>
    </row>
    <row r="356" spans="1:11" ht="14.25" customHeight="1" x14ac:dyDescent="0.35">
      <c r="A356" s="9">
        <v>43967</v>
      </c>
      <c r="B356" s="2" t="s">
        <v>23</v>
      </c>
      <c r="C356" s="10">
        <v>16368</v>
      </c>
      <c r="D356" s="10">
        <v>1316350.5</v>
      </c>
      <c r="E356" s="10">
        <f>SUMIFS(Лист2!$C:$C,Лист2!$A:$A,$A356,Лист2!$B:$B,$B356)</f>
        <v>16</v>
      </c>
      <c r="F356" s="10">
        <f>SUMIFS(Лист2!$D:$D,Лист2!$A:$A,$A356,Лист2!$B:$B,$B356)</f>
        <v>920</v>
      </c>
      <c r="G356" s="10">
        <f>SUMIFS(Лист2!$E:$E,Лист2!$A:$A,$A356,Лист2!$B:$B,$B356)</f>
        <v>818</v>
      </c>
      <c r="H356" s="10">
        <f t="shared" si="10"/>
        <v>82271.90625</v>
      </c>
      <c r="I356" s="43">
        <f t="shared" si="11"/>
        <v>20</v>
      </c>
      <c r="J356" s="30">
        <v>355</v>
      </c>
      <c r="K356" s="30" t="s">
        <v>56</v>
      </c>
    </row>
    <row r="357" spans="1:11" ht="14.25" customHeight="1" x14ac:dyDescent="0.35">
      <c r="A357" s="11">
        <v>43970</v>
      </c>
      <c r="B357" s="4" t="s">
        <v>23</v>
      </c>
      <c r="C357" s="12">
        <v>14427</v>
      </c>
      <c r="D357" s="12">
        <v>1126810.5</v>
      </c>
      <c r="E357" s="12">
        <f>SUMIFS(Лист2!$C:$C,Лист2!$A:$A,$A357,Лист2!$B:$B,$B357)</f>
        <v>17</v>
      </c>
      <c r="F357" s="12">
        <f>SUMIFS(Лист2!$D:$D,Лист2!$A:$A,$A357,Лист2!$B:$B,$B357)</f>
        <v>857</v>
      </c>
      <c r="G357" s="12">
        <f>SUMIFS(Лист2!$E:$E,Лист2!$A:$A,$A357,Лист2!$B:$B,$B357)</f>
        <v>757</v>
      </c>
      <c r="H357" s="12">
        <f t="shared" si="10"/>
        <v>66282.970588235301</v>
      </c>
      <c r="I357" s="44">
        <f t="shared" si="11"/>
        <v>21</v>
      </c>
      <c r="J357" s="31">
        <v>356</v>
      </c>
      <c r="K357" s="31" t="s">
        <v>57</v>
      </c>
    </row>
    <row r="358" spans="1:11" ht="14.25" customHeight="1" x14ac:dyDescent="0.35">
      <c r="A358" s="9">
        <v>43968</v>
      </c>
      <c r="B358" s="2" t="s">
        <v>23</v>
      </c>
      <c r="C358" s="10">
        <v>13440</v>
      </c>
      <c r="D358" s="10">
        <v>1157529</v>
      </c>
      <c r="E358" s="10">
        <f>SUMIFS(Лист2!$C:$C,Лист2!$A:$A,$A358,Лист2!$B:$B,$B358)</f>
        <v>16</v>
      </c>
      <c r="F358" s="10">
        <f>SUMIFS(Лист2!$D:$D,Лист2!$A:$A,$A358,Лист2!$B:$B,$B358)</f>
        <v>859</v>
      </c>
      <c r="G358" s="10">
        <f>SUMIFS(Лист2!$E:$E,Лист2!$A:$A,$A358,Лист2!$B:$B,$B358)</f>
        <v>746</v>
      </c>
      <c r="H358" s="10">
        <f t="shared" si="10"/>
        <v>72345.5625</v>
      </c>
      <c r="I358" s="43">
        <f t="shared" si="11"/>
        <v>20</v>
      </c>
      <c r="J358" s="30">
        <v>357</v>
      </c>
      <c r="K358" s="30" t="s">
        <v>56</v>
      </c>
    </row>
    <row r="359" spans="1:11" ht="14.25" customHeight="1" x14ac:dyDescent="0.35">
      <c r="A359" s="11">
        <v>43960</v>
      </c>
      <c r="B359" s="4" t="s">
        <v>23</v>
      </c>
      <c r="C359" s="12">
        <v>11745</v>
      </c>
      <c r="D359" s="12">
        <v>955801.5</v>
      </c>
      <c r="E359" s="12">
        <f>SUMIFS(Лист2!$C:$C,Лист2!$A:$A,$A359,Лист2!$B:$B,$B359)</f>
        <v>15</v>
      </c>
      <c r="F359" s="12">
        <f>SUMIFS(Лист2!$D:$D,Лист2!$A:$A,$A359,Лист2!$B:$B,$B359)</f>
        <v>654</v>
      </c>
      <c r="G359" s="12">
        <f>SUMIFS(Лист2!$E:$E,Лист2!$A:$A,$A359,Лист2!$B:$B,$B359)</f>
        <v>570</v>
      </c>
      <c r="H359" s="12">
        <f t="shared" si="10"/>
        <v>63720.1</v>
      </c>
      <c r="I359" s="44">
        <f t="shared" si="11"/>
        <v>19</v>
      </c>
      <c r="J359" s="31">
        <v>358</v>
      </c>
      <c r="K359" s="31" t="s">
        <v>55</v>
      </c>
    </row>
    <row r="360" spans="1:11" ht="14.25" customHeight="1" x14ac:dyDescent="0.35">
      <c r="A360" s="9">
        <v>43955</v>
      </c>
      <c r="B360" s="2" t="s">
        <v>23</v>
      </c>
      <c r="C360" s="10">
        <v>11062.5</v>
      </c>
      <c r="D360" s="10">
        <v>906343.5</v>
      </c>
      <c r="E360" s="10">
        <f>SUMIFS(Лист2!$C:$C,Лист2!$A:$A,$A360,Лист2!$B:$B,$B360)</f>
        <v>15</v>
      </c>
      <c r="F360" s="10">
        <f>SUMIFS(Лист2!$D:$D,Лист2!$A:$A,$A360,Лист2!$B:$B,$B360)</f>
        <v>622</v>
      </c>
      <c r="G360" s="10">
        <f>SUMIFS(Лист2!$E:$E,Лист2!$A:$A,$A360,Лист2!$B:$B,$B360)</f>
        <v>538</v>
      </c>
      <c r="H360" s="10">
        <f t="shared" si="10"/>
        <v>60422.9</v>
      </c>
      <c r="I360" s="43">
        <f t="shared" si="11"/>
        <v>19</v>
      </c>
      <c r="J360" s="30">
        <v>359</v>
      </c>
      <c r="K360" s="30" t="s">
        <v>55</v>
      </c>
    </row>
    <row r="361" spans="1:11" ht="14.25" customHeight="1" x14ac:dyDescent="0.35">
      <c r="A361" s="11">
        <v>43953</v>
      </c>
      <c r="B361" s="4" t="s">
        <v>23</v>
      </c>
      <c r="C361" s="12">
        <v>10018.5</v>
      </c>
      <c r="D361" s="12">
        <v>816859.5</v>
      </c>
      <c r="E361" s="12">
        <f>SUMIFS(Лист2!$C:$C,Лист2!$A:$A,$A361,Лист2!$B:$B,$B361)</f>
        <v>15</v>
      </c>
      <c r="F361" s="12">
        <f>SUMIFS(Лист2!$D:$D,Лист2!$A:$A,$A361,Лист2!$B:$B,$B361)</f>
        <v>567</v>
      </c>
      <c r="G361" s="12">
        <f>SUMIFS(Лист2!$E:$E,Лист2!$A:$A,$A361,Лист2!$B:$B,$B361)</f>
        <v>493</v>
      </c>
      <c r="H361" s="12">
        <f t="shared" si="10"/>
        <v>54457.3</v>
      </c>
      <c r="I361" s="44">
        <f t="shared" si="11"/>
        <v>18</v>
      </c>
      <c r="J361" s="31">
        <v>360</v>
      </c>
      <c r="K361" s="31" t="s">
        <v>54</v>
      </c>
    </row>
    <row r="362" spans="1:11" ht="14.25" customHeight="1" x14ac:dyDescent="0.35">
      <c r="A362" s="9">
        <v>43977</v>
      </c>
      <c r="B362" s="2" t="s">
        <v>24</v>
      </c>
      <c r="C362" s="10">
        <v>10437</v>
      </c>
      <c r="D362" s="10">
        <v>833815.5</v>
      </c>
      <c r="E362" s="10">
        <f>SUMIFS(Лист2!$C:$C,Лист2!$A:$A,$A362,Лист2!$B:$B,$B362)</f>
        <v>7</v>
      </c>
      <c r="F362" s="10">
        <f>SUMIFS(Лист2!$D:$D,Лист2!$A:$A,$A362,Лист2!$B:$B,$B362)</f>
        <v>577</v>
      </c>
      <c r="G362" s="10">
        <f>SUMIFS(Лист2!$E:$E,Лист2!$A:$A,$A362,Лист2!$B:$B,$B362)</f>
        <v>389</v>
      </c>
      <c r="H362" s="10">
        <f t="shared" si="10"/>
        <v>119116.5</v>
      </c>
      <c r="I362" s="43">
        <f t="shared" si="11"/>
        <v>22</v>
      </c>
      <c r="J362" s="30">
        <v>361</v>
      </c>
      <c r="K362" s="30" t="s">
        <v>58</v>
      </c>
    </row>
    <row r="363" spans="1:11" ht="14.25" customHeight="1" x14ac:dyDescent="0.35">
      <c r="A363" s="11">
        <v>43952</v>
      </c>
      <c r="B363" s="4" t="s">
        <v>23</v>
      </c>
      <c r="C363" s="12">
        <v>13644</v>
      </c>
      <c r="D363" s="12">
        <v>1134444</v>
      </c>
      <c r="E363" s="12">
        <f>SUMIFS(Лист2!$C:$C,Лист2!$A:$A,$A363,Лист2!$B:$B,$B363)</f>
        <v>15</v>
      </c>
      <c r="F363" s="12">
        <f>SUMIFS(Лист2!$D:$D,Лист2!$A:$A,$A363,Лист2!$B:$B,$B363)</f>
        <v>721</v>
      </c>
      <c r="G363" s="12">
        <f>SUMIFS(Лист2!$E:$E,Лист2!$A:$A,$A363,Лист2!$B:$B,$B363)</f>
        <v>625</v>
      </c>
      <c r="H363" s="12">
        <f t="shared" si="10"/>
        <v>75629.600000000006</v>
      </c>
      <c r="I363" s="44">
        <f t="shared" si="11"/>
        <v>18</v>
      </c>
      <c r="J363" s="31">
        <v>362</v>
      </c>
      <c r="K363" s="31" t="s">
        <v>54</v>
      </c>
    </row>
    <row r="364" spans="1:11" ht="14.25" customHeight="1" x14ac:dyDescent="0.35">
      <c r="A364" s="9">
        <v>43963</v>
      </c>
      <c r="B364" s="2" t="s">
        <v>23</v>
      </c>
      <c r="C364" s="10">
        <v>13443</v>
      </c>
      <c r="D364" s="10">
        <v>1092277.5</v>
      </c>
      <c r="E364" s="10">
        <f>SUMIFS(Лист2!$C:$C,Лист2!$A:$A,$A364,Лист2!$B:$B,$B364)</f>
        <v>15</v>
      </c>
      <c r="F364" s="10">
        <f>SUMIFS(Лист2!$D:$D,Лист2!$A:$A,$A364,Лист2!$B:$B,$B364)</f>
        <v>750</v>
      </c>
      <c r="G364" s="10">
        <f>SUMIFS(Лист2!$E:$E,Лист2!$A:$A,$A364,Лист2!$B:$B,$B364)</f>
        <v>659</v>
      </c>
      <c r="H364" s="10">
        <f t="shared" si="10"/>
        <v>72818.5</v>
      </c>
      <c r="I364" s="43">
        <f t="shared" si="11"/>
        <v>20</v>
      </c>
      <c r="J364" s="30">
        <v>363</v>
      </c>
      <c r="K364" s="30" t="s">
        <v>56</v>
      </c>
    </row>
    <row r="365" spans="1:11" ht="14.25" customHeight="1" x14ac:dyDescent="0.35">
      <c r="A365" s="11">
        <v>43972</v>
      </c>
      <c r="B365" s="4" t="s">
        <v>23</v>
      </c>
      <c r="C365" s="12">
        <v>14182.5</v>
      </c>
      <c r="D365" s="12">
        <v>1172574</v>
      </c>
      <c r="E365" s="12">
        <f>SUMIFS(Лист2!$C:$C,Лист2!$A:$A,$A365,Лист2!$B:$B,$B365)</f>
        <v>18</v>
      </c>
      <c r="F365" s="12">
        <f>SUMIFS(Лист2!$D:$D,Лист2!$A:$A,$A365,Лист2!$B:$B,$B365)</f>
        <v>888</v>
      </c>
      <c r="G365" s="12">
        <f>SUMIFS(Лист2!$E:$E,Лист2!$A:$A,$A365,Лист2!$B:$B,$B365)</f>
        <v>786</v>
      </c>
      <c r="H365" s="12">
        <f t="shared" si="10"/>
        <v>65143</v>
      </c>
      <c r="I365" s="44">
        <f t="shared" si="11"/>
        <v>21</v>
      </c>
      <c r="J365" s="31">
        <v>364</v>
      </c>
      <c r="K365" s="31" t="s">
        <v>57</v>
      </c>
    </row>
    <row r="366" spans="1:11" ht="14.25" customHeight="1" x14ac:dyDescent="0.35">
      <c r="A366" s="9">
        <v>43971</v>
      </c>
      <c r="B366" s="2" t="s">
        <v>23</v>
      </c>
      <c r="C366" s="10">
        <v>14928</v>
      </c>
      <c r="D366" s="10">
        <v>1217749.5</v>
      </c>
      <c r="E366" s="10">
        <f>SUMIFS(Лист2!$C:$C,Лист2!$A:$A,$A366,Лист2!$B:$B,$B366)</f>
        <v>17</v>
      </c>
      <c r="F366" s="10">
        <f>SUMIFS(Лист2!$D:$D,Лист2!$A:$A,$A366,Лист2!$B:$B,$B366)</f>
        <v>890</v>
      </c>
      <c r="G366" s="10">
        <f>SUMIFS(Лист2!$E:$E,Лист2!$A:$A,$A366,Лист2!$B:$B,$B366)</f>
        <v>794</v>
      </c>
      <c r="H366" s="10">
        <f t="shared" si="10"/>
        <v>71632.323529411762</v>
      </c>
      <c r="I366" s="43">
        <f t="shared" si="11"/>
        <v>21</v>
      </c>
      <c r="J366" s="30">
        <v>365</v>
      </c>
      <c r="K366" s="30" t="s">
        <v>57</v>
      </c>
    </row>
    <row r="367" spans="1:11" ht="14.25" customHeight="1" x14ac:dyDescent="0.35">
      <c r="A367" s="11">
        <v>43956</v>
      </c>
      <c r="B367" s="4" t="s">
        <v>23</v>
      </c>
      <c r="C367" s="12">
        <v>13941</v>
      </c>
      <c r="D367" s="12">
        <v>1145575.5</v>
      </c>
      <c r="E367" s="12">
        <f>SUMIFS(Лист2!$C:$C,Лист2!$A:$A,$A367,Лист2!$B:$B,$B367)</f>
        <v>15</v>
      </c>
      <c r="F367" s="12">
        <f>SUMIFS(Лист2!$D:$D,Лист2!$A:$A,$A367,Лист2!$B:$B,$B367)</f>
        <v>750</v>
      </c>
      <c r="G367" s="12">
        <f>SUMIFS(Лист2!$E:$E,Лист2!$A:$A,$A367,Лист2!$B:$B,$B367)</f>
        <v>658</v>
      </c>
      <c r="H367" s="12">
        <f t="shared" si="10"/>
        <v>76371.7</v>
      </c>
      <c r="I367" s="44">
        <f t="shared" si="11"/>
        <v>19</v>
      </c>
      <c r="J367" s="31">
        <v>366</v>
      </c>
      <c r="K367" s="31" t="s">
        <v>55</v>
      </c>
    </row>
    <row r="368" spans="1:11" ht="14.25" customHeight="1" x14ac:dyDescent="0.35">
      <c r="A368" s="9">
        <v>43964</v>
      </c>
      <c r="B368" s="2" t="s">
        <v>23</v>
      </c>
      <c r="C368" s="10">
        <v>14643</v>
      </c>
      <c r="D368" s="10">
        <v>1172691</v>
      </c>
      <c r="E368" s="10">
        <f>SUMIFS(Лист2!$C:$C,Лист2!$A:$A,$A368,Лист2!$B:$B,$B368)</f>
        <v>15</v>
      </c>
      <c r="F368" s="10">
        <f>SUMIFS(Лист2!$D:$D,Лист2!$A:$A,$A368,Лист2!$B:$B,$B368)</f>
        <v>854</v>
      </c>
      <c r="G368" s="10">
        <f>SUMIFS(Лист2!$E:$E,Лист2!$A:$A,$A368,Лист2!$B:$B,$B368)</f>
        <v>756</v>
      </c>
      <c r="H368" s="10">
        <f t="shared" si="10"/>
        <v>78179.399999999994</v>
      </c>
      <c r="I368" s="43">
        <f t="shared" si="11"/>
        <v>20</v>
      </c>
      <c r="J368" s="30">
        <v>367</v>
      </c>
      <c r="K368" s="30" t="s">
        <v>56</v>
      </c>
    </row>
    <row r="369" spans="1:11" ht="14.25" customHeight="1" x14ac:dyDescent="0.35">
      <c r="A369" s="11">
        <v>43954</v>
      </c>
      <c r="B369" s="4" t="s">
        <v>23</v>
      </c>
      <c r="C369" s="12">
        <v>10032</v>
      </c>
      <c r="D369" s="12">
        <v>816150</v>
      </c>
      <c r="E369" s="12">
        <f>SUMIFS(Лист2!$C:$C,Лист2!$A:$A,$A369,Лист2!$B:$B,$B369)</f>
        <v>15</v>
      </c>
      <c r="F369" s="12">
        <f>SUMIFS(Лист2!$D:$D,Лист2!$A:$A,$A369,Лист2!$B:$B,$B369)</f>
        <v>585</v>
      </c>
      <c r="G369" s="12">
        <f>SUMIFS(Лист2!$E:$E,Лист2!$A:$A,$A369,Лист2!$B:$B,$B369)</f>
        <v>502</v>
      </c>
      <c r="H369" s="12">
        <f t="shared" si="10"/>
        <v>54410</v>
      </c>
      <c r="I369" s="44">
        <f t="shared" si="11"/>
        <v>18</v>
      </c>
      <c r="J369" s="31">
        <v>368</v>
      </c>
      <c r="K369" s="31" t="s">
        <v>54</v>
      </c>
    </row>
    <row r="370" spans="1:11" ht="14.25" customHeight="1" x14ac:dyDescent="0.35">
      <c r="A370" s="9">
        <v>43957</v>
      </c>
      <c r="B370" s="2" t="s">
        <v>23</v>
      </c>
      <c r="C370" s="10">
        <v>12468</v>
      </c>
      <c r="D370" s="10">
        <v>1016566.5</v>
      </c>
      <c r="E370" s="10">
        <f>SUMIFS(Лист2!$C:$C,Лист2!$A:$A,$A370,Лист2!$B:$B,$B370)</f>
        <v>15</v>
      </c>
      <c r="F370" s="10">
        <f>SUMIFS(Лист2!$D:$D,Лист2!$A:$A,$A370,Лист2!$B:$B,$B370)</f>
        <v>701</v>
      </c>
      <c r="G370" s="10">
        <f>SUMIFS(Лист2!$E:$E,Лист2!$A:$A,$A370,Лист2!$B:$B,$B370)</f>
        <v>611</v>
      </c>
      <c r="H370" s="10">
        <f t="shared" si="10"/>
        <v>67771.100000000006</v>
      </c>
      <c r="I370" s="43">
        <f t="shared" si="11"/>
        <v>19</v>
      </c>
      <c r="J370" s="30">
        <v>369</v>
      </c>
      <c r="K370" s="30" t="s">
        <v>55</v>
      </c>
    </row>
    <row r="371" spans="1:11" ht="14.25" customHeight="1" x14ac:dyDescent="0.35">
      <c r="A371" s="11">
        <v>43974</v>
      </c>
      <c r="B371" s="4" t="s">
        <v>23</v>
      </c>
      <c r="C371" s="12">
        <v>17943</v>
      </c>
      <c r="D371" s="12">
        <v>1457391</v>
      </c>
      <c r="E371" s="12">
        <f>SUMIFS(Лист2!$C:$C,Лист2!$A:$A,$A371,Лист2!$B:$B,$B371)</f>
        <v>18</v>
      </c>
      <c r="F371" s="12">
        <f>SUMIFS(Лист2!$D:$D,Лист2!$A:$A,$A371,Лист2!$B:$B,$B371)</f>
        <v>1031</v>
      </c>
      <c r="G371" s="12">
        <f>SUMIFS(Лист2!$E:$E,Лист2!$A:$A,$A371,Лист2!$B:$B,$B371)</f>
        <v>918</v>
      </c>
      <c r="H371" s="12">
        <f t="shared" si="10"/>
        <v>80966.166666666672</v>
      </c>
      <c r="I371" s="44">
        <f t="shared" si="11"/>
        <v>21</v>
      </c>
      <c r="J371" s="31">
        <v>370</v>
      </c>
      <c r="K371" s="31" t="s">
        <v>57</v>
      </c>
    </row>
    <row r="372" spans="1:11" ht="14.25" customHeight="1" x14ac:dyDescent="0.35">
      <c r="A372" s="9">
        <v>43976</v>
      </c>
      <c r="B372" s="2" t="s">
        <v>23</v>
      </c>
      <c r="C372" s="10">
        <v>15807</v>
      </c>
      <c r="D372" s="10">
        <v>1326705</v>
      </c>
      <c r="E372" s="10">
        <f>SUMIFS(Лист2!$C:$C,Лист2!$A:$A,$A372,Лист2!$B:$B,$B372)</f>
        <v>18</v>
      </c>
      <c r="F372" s="10">
        <f>SUMIFS(Лист2!$D:$D,Лист2!$A:$A,$A372,Лист2!$B:$B,$B372)</f>
        <v>989</v>
      </c>
      <c r="G372" s="10">
        <f>SUMIFS(Лист2!$E:$E,Лист2!$A:$A,$A372,Лист2!$B:$B,$B372)</f>
        <v>887</v>
      </c>
      <c r="H372" s="10">
        <f t="shared" si="10"/>
        <v>73705.833333333328</v>
      </c>
      <c r="I372" s="43">
        <f t="shared" si="11"/>
        <v>22</v>
      </c>
      <c r="J372" s="30">
        <v>371</v>
      </c>
      <c r="K372" s="30" t="s">
        <v>58</v>
      </c>
    </row>
    <row r="373" spans="1:11" ht="14.25" customHeight="1" x14ac:dyDescent="0.35">
      <c r="A373" s="11">
        <v>43951</v>
      </c>
      <c r="B373" s="4" t="s">
        <v>23</v>
      </c>
      <c r="C373" s="12">
        <v>11976</v>
      </c>
      <c r="D373" s="12">
        <v>1004511</v>
      </c>
      <c r="E373" s="12">
        <f>SUMIFS(Лист2!$C:$C,Лист2!$A:$A,$A373,Лист2!$B:$B,$B373)</f>
        <v>15</v>
      </c>
      <c r="F373" s="12">
        <f>SUMIFS(Лист2!$D:$D,Лист2!$A:$A,$A373,Лист2!$B:$B,$B373)</f>
        <v>644</v>
      </c>
      <c r="G373" s="12">
        <f>SUMIFS(Лист2!$E:$E,Лист2!$A:$A,$A373,Лист2!$B:$B,$B373)</f>
        <v>550</v>
      </c>
      <c r="H373" s="12">
        <f t="shared" si="10"/>
        <v>66967.399999999994</v>
      </c>
      <c r="I373" s="44">
        <f t="shared" si="11"/>
        <v>18</v>
      </c>
      <c r="J373" s="31">
        <v>372</v>
      </c>
      <c r="K373" s="31" t="s">
        <v>54</v>
      </c>
    </row>
    <row r="374" spans="1:11" ht="14.25" customHeight="1" x14ac:dyDescent="0.35">
      <c r="A374" s="9">
        <v>43961</v>
      </c>
      <c r="B374" s="2" t="s">
        <v>23</v>
      </c>
      <c r="C374" s="10">
        <v>14566.5</v>
      </c>
      <c r="D374" s="10">
        <v>1216557</v>
      </c>
      <c r="E374" s="10">
        <f>SUMIFS(Лист2!$C:$C,Лист2!$A:$A,$A374,Лист2!$B:$B,$B374)</f>
        <v>15</v>
      </c>
      <c r="F374" s="10">
        <f>SUMIFS(Лист2!$D:$D,Лист2!$A:$A,$A374,Лист2!$B:$B,$B374)</f>
        <v>792</v>
      </c>
      <c r="G374" s="10">
        <f>SUMIFS(Лист2!$E:$E,Лист2!$A:$A,$A374,Лист2!$B:$B,$B374)</f>
        <v>695</v>
      </c>
      <c r="H374" s="10">
        <f t="shared" si="10"/>
        <v>81103.8</v>
      </c>
      <c r="I374" s="43">
        <f t="shared" si="11"/>
        <v>19</v>
      </c>
      <c r="J374" s="30">
        <v>373</v>
      </c>
      <c r="K374" s="30" t="s">
        <v>55</v>
      </c>
    </row>
    <row r="375" spans="1:11" ht="14.25" customHeight="1" x14ac:dyDescent="0.35">
      <c r="A375" s="11">
        <v>43959</v>
      </c>
      <c r="B375" s="4" t="s">
        <v>23</v>
      </c>
      <c r="C375" s="12">
        <v>12976.5</v>
      </c>
      <c r="D375" s="12">
        <v>1046848.5</v>
      </c>
      <c r="E375" s="12">
        <f>SUMIFS(Лист2!$C:$C,Лист2!$A:$A,$A375,Лист2!$B:$B,$B375)</f>
        <v>15</v>
      </c>
      <c r="F375" s="12">
        <f>SUMIFS(Лист2!$D:$D,Лист2!$A:$A,$A375,Лист2!$B:$B,$B375)</f>
        <v>703</v>
      </c>
      <c r="G375" s="12">
        <f>SUMIFS(Лист2!$E:$E,Лист2!$A:$A,$A375,Лист2!$B:$B,$B375)</f>
        <v>609</v>
      </c>
      <c r="H375" s="12">
        <f t="shared" si="10"/>
        <v>69789.899999999994</v>
      </c>
      <c r="I375" s="44">
        <f t="shared" si="11"/>
        <v>19</v>
      </c>
      <c r="J375" s="31">
        <v>374</v>
      </c>
      <c r="K375" s="31" t="s">
        <v>55</v>
      </c>
    </row>
    <row r="376" spans="1:11" ht="14.25" customHeight="1" x14ac:dyDescent="0.35">
      <c r="A376" s="9">
        <v>43958</v>
      </c>
      <c r="B376" s="2" t="s">
        <v>23</v>
      </c>
      <c r="C376" s="10">
        <v>11719.5</v>
      </c>
      <c r="D376" s="10">
        <v>965880</v>
      </c>
      <c r="E376" s="10">
        <f>SUMIFS(Лист2!$C:$C,Лист2!$A:$A,$A376,Лист2!$B:$B,$B376)</f>
        <v>15</v>
      </c>
      <c r="F376" s="10">
        <f>SUMIFS(Лист2!$D:$D,Лист2!$A:$A,$A376,Лист2!$B:$B,$B376)</f>
        <v>676</v>
      </c>
      <c r="G376" s="10">
        <f>SUMIFS(Лист2!$E:$E,Лист2!$A:$A,$A376,Лист2!$B:$B,$B376)</f>
        <v>591</v>
      </c>
      <c r="H376" s="10">
        <f t="shared" si="10"/>
        <v>64392</v>
      </c>
      <c r="I376" s="43">
        <f t="shared" si="11"/>
        <v>19</v>
      </c>
      <c r="J376" s="30">
        <v>375</v>
      </c>
      <c r="K376" s="30" t="s">
        <v>55</v>
      </c>
    </row>
    <row r="377" spans="1:11" ht="14.25" customHeight="1" x14ac:dyDescent="0.35">
      <c r="A377" s="11">
        <v>43975</v>
      </c>
      <c r="B377" s="4" t="s">
        <v>23</v>
      </c>
      <c r="C377" s="12">
        <v>17197.5</v>
      </c>
      <c r="D377" s="12">
        <v>1386262.5</v>
      </c>
      <c r="E377" s="12">
        <f>SUMIFS(Лист2!$C:$C,Лист2!$A:$A,$A377,Лист2!$B:$B,$B377)</f>
        <v>18</v>
      </c>
      <c r="F377" s="12">
        <f>SUMIFS(Лист2!$D:$D,Лист2!$A:$A,$A377,Лист2!$B:$B,$B377)</f>
        <v>1006</v>
      </c>
      <c r="G377" s="12">
        <f>SUMIFS(Лист2!$E:$E,Лист2!$A:$A,$A377,Лист2!$B:$B,$B377)</f>
        <v>904</v>
      </c>
      <c r="H377" s="12">
        <f t="shared" si="10"/>
        <v>77014.583333333328</v>
      </c>
      <c r="I377" s="44">
        <f t="shared" si="11"/>
        <v>21</v>
      </c>
      <c r="J377" s="31">
        <v>376</v>
      </c>
      <c r="K377" s="31" t="s">
        <v>57</v>
      </c>
    </row>
    <row r="378" spans="1:11" ht="14.25" customHeight="1" x14ac:dyDescent="0.35">
      <c r="A378" s="9">
        <v>43977</v>
      </c>
      <c r="B378" s="2" t="s">
        <v>23</v>
      </c>
      <c r="C378" s="10">
        <v>14419.5</v>
      </c>
      <c r="D378" s="10">
        <v>1210456.5</v>
      </c>
      <c r="E378" s="10">
        <f>SUMIFS(Лист2!$C:$C,Лист2!$A:$A,$A378,Лист2!$B:$B,$B378)</f>
        <v>18</v>
      </c>
      <c r="F378" s="10">
        <f>SUMIFS(Лист2!$D:$D,Лист2!$A:$A,$A378,Лист2!$B:$B,$B378)</f>
        <v>914</v>
      </c>
      <c r="G378" s="10">
        <f>SUMIFS(Лист2!$E:$E,Лист2!$A:$A,$A378,Лист2!$B:$B,$B378)</f>
        <v>804</v>
      </c>
      <c r="H378" s="10">
        <f t="shared" si="10"/>
        <v>67247.583333333328</v>
      </c>
      <c r="I378" s="43">
        <f t="shared" si="11"/>
        <v>22</v>
      </c>
      <c r="J378" s="30">
        <v>377</v>
      </c>
      <c r="K378" s="30" t="s">
        <v>58</v>
      </c>
    </row>
    <row r="379" spans="1:11" ht="14.25" customHeight="1" x14ac:dyDescent="0.35">
      <c r="A379" s="11">
        <v>43983</v>
      </c>
      <c r="B379" s="4" t="s">
        <v>9</v>
      </c>
      <c r="C379" s="12">
        <v>7816.5</v>
      </c>
      <c r="D379" s="12">
        <v>636345</v>
      </c>
      <c r="E379" s="12">
        <f>SUMIFS(Лист2!$C:$C,Лист2!$A:$A,$A379,Лист2!$B:$B,$B379)</f>
        <v>15</v>
      </c>
      <c r="F379" s="12">
        <f>SUMIFS(Лист2!$D:$D,Лист2!$A:$A,$A379,Лист2!$B:$B,$B379)</f>
        <v>453</v>
      </c>
      <c r="G379" s="12">
        <f>SUMIFS(Лист2!$E:$E,Лист2!$A:$A,$A379,Лист2!$B:$B,$B379)</f>
        <v>370</v>
      </c>
      <c r="H379" s="12">
        <f t="shared" si="10"/>
        <v>42423</v>
      </c>
      <c r="I379" s="44">
        <f t="shared" si="11"/>
        <v>23</v>
      </c>
      <c r="J379" s="31">
        <v>378</v>
      </c>
      <c r="K379" s="31" t="s">
        <v>59</v>
      </c>
    </row>
    <row r="380" spans="1:11" ht="14.25" customHeight="1" x14ac:dyDescent="0.35">
      <c r="A380" s="9">
        <v>43982</v>
      </c>
      <c r="B380" s="2" t="s">
        <v>25</v>
      </c>
      <c r="C380" s="10">
        <v>6409.5</v>
      </c>
      <c r="D380" s="10">
        <v>493893</v>
      </c>
      <c r="E380" s="10">
        <f>SUMIFS(Лист2!$C:$C,Лист2!$A:$A,$A380,Лист2!$B:$B,$B380)</f>
        <v>9</v>
      </c>
      <c r="F380" s="10">
        <f>SUMIFS(Лист2!$D:$D,Лист2!$A:$A,$A380,Лист2!$B:$B,$B380)</f>
        <v>345</v>
      </c>
      <c r="G380" s="10">
        <f>SUMIFS(Лист2!$E:$E,Лист2!$A:$A,$A380,Лист2!$B:$B,$B380)</f>
        <v>255</v>
      </c>
      <c r="H380" s="10">
        <f t="shared" si="10"/>
        <v>54877</v>
      </c>
      <c r="I380" s="43">
        <f t="shared" si="11"/>
        <v>22</v>
      </c>
      <c r="J380" s="30">
        <v>379</v>
      </c>
      <c r="K380" s="30" t="s">
        <v>58</v>
      </c>
    </row>
    <row r="381" spans="1:11" ht="14.25" customHeight="1" x14ac:dyDescent="0.35">
      <c r="A381" s="11">
        <v>43981</v>
      </c>
      <c r="B381" s="4" t="s">
        <v>24</v>
      </c>
      <c r="C381" s="12">
        <v>11220</v>
      </c>
      <c r="D381" s="12">
        <v>928675.5</v>
      </c>
      <c r="E381" s="12">
        <f>SUMIFS(Лист2!$C:$C,Лист2!$A:$A,$A381,Лист2!$B:$B,$B381)</f>
        <v>7</v>
      </c>
      <c r="F381" s="12">
        <f>SUMIFS(Лист2!$D:$D,Лист2!$A:$A,$A381,Лист2!$B:$B,$B381)</f>
        <v>532</v>
      </c>
      <c r="G381" s="12">
        <f>SUMIFS(Лист2!$E:$E,Лист2!$A:$A,$A381,Лист2!$B:$B,$B381)</f>
        <v>449</v>
      </c>
      <c r="H381" s="12">
        <f t="shared" si="10"/>
        <v>132667.92857142858</v>
      </c>
      <c r="I381" s="44">
        <f t="shared" si="11"/>
        <v>22</v>
      </c>
      <c r="J381" s="31">
        <v>380</v>
      </c>
      <c r="K381" s="31" t="s">
        <v>58</v>
      </c>
    </row>
    <row r="382" spans="1:11" ht="14.25" customHeight="1" x14ac:dyDescent="0.35">
      <c r="A382" s="9">
        <v>43980</v>
      </c>
      <c r="B382" s="2" t="s">
        <v>9</v>
      </c>
      <c r="C382" s="10">
        <v>8350.5</v>
      </c>
      <c r="D382" s="10">
        <v>651237</v>
      </c>
      <c r="E382" s="10">
        <f>SUMIFS(Лист2!$C:$C,Лист2!$A:$A,$A382,Лист2!$B:$B,$B382)</f>
        <v>15</v>
      </c>
      <c r="F382" s="10">
        <f>SUMIFS(Лист2!$D:$D,Лист2!$A:$A,$A382,Лист2!$B:$B,$B382)</f>
        <v>400</v>
      </c>
      <c r="G382" s="10">
        <f>SUMIFS(Лист2!$E:$E,Лист2!$A:$A,$A382,Лист2!$B:$B,$B382)</f>
        <v>329</v>
      </c>
      <c r="H382" s="10">
        <f t="shared" si="10"/>
        <v>43415.8</v>
      </c>
      <c r="I382" s="43">
        <f t="shared" si="11"/>
        <v>22</v>
      </c>
      <c r="J382" s="30">
        <v>381</v>
      </c>
      <c r="K382" s="30" t="s">
        <v>58</v>
      </c>
    </row>
    <row r="383" spans="1:11" ht="14.25" customHeight="1" x14ac:dyDescent="0.35">
      <c r="A383" s="11">
        <v>43979</v>
      </c>
      <c r="B383" s="4" t="s">
        <v>24</v>
      </c>
      <c r="C383" s="12">
        <v>8428.5</v>
      </c>
      <c r="D383" s="12">
        <v>694669.5</v>
      </c>
      <c r="E383" s="12">
        <f>SUMIFS(Лист2!$C:$C,Лист2!$A:$A,$A383,Лист2!$B:$B,$B383)</f>
        <v>7</v>
      </c>
      <c r="F383" s="12">
        <f>SUMIFS(Лист2!$D:$D,Лист2!$A:$A,$A383,Лист2!$B:$B,$B383)</f>
        <v>420</v>
      </c>
      <c r="G383" s="12">
        <f>SUMIFS(Лист2!$E:$E,Лист2!$A:$A,$A383,Лист2!$B:$B,$B383)</f>
        <v>347</v>
      </c>
      <c r="H383" s="12">
        <f t="shared" si="10"/>
        <v>99238.5</v>
      </c>
      <c r="I383" s="44">
        <f t="shared" si="11"/>
        <v>22</v>
      </c>
      <c r="J383" s="31">
        <v>382</v>
      </c>
      <c r="K383" s="31" t="s">
        <v>58</v>
      </c>
    </row>
    <row r="384" spans="1:11" ht="14.25" customHeight="1" x14ac:dyDescent="0.35">
      <c r="A384" s="9">
        <v>43978</v>
      </c>
      <c r="B384" s="2" t="s">
        <v>10</v>
      </c>
      <c r="C384" s="10">
        <v>32817</v>
      </c>
      <c r="D384" s="10">
        <v>3015751.5</v>
      </c>
      <c r="E384" s="10">
        <f>SUMIFS(Лист2!$C:$C,Лист2!$A:$A,$A384,Лист2!$B:$B,$B384)</f>
        <v>20</v>
      </c>
      <c r="F384" s="10">
        <f>SUMIFS(Лист2!$D:$D,Лист2!$A:$A,$A384,Лист2!$B:$B,$B384)</f>
        <v>2079</v>
      </c>
      <c r="G384" s="10">
        <f>SUMIFS(Лист2!$E:$E,Лист2!$A:$A,$A384,Лист2!$B:$B,$B384)</f>
        <v>1893</v>
      </c>
      <c r="H384" s="10">
        <f t="shared" si="10"/>
        <v>150787.57500000001</v>
      </c>
      <c r="I384" s="43">
        <f t="shared" si="11"/>
        <v>22</v>
      </c>
      <c r="J384" s="30">
        <v>383</v>
      </c>
      <c r="K384" s="30" t="s">
        <v>58</v>
      </c>
    </row>
    <row r="385" spans="1:11" ht="14.25" customHeight="1" x14ac:dyDescent="0.35">
      <c r="A385" s="11">
        <v>43973</v>
      </c>
      <c r="B385" s="4" t="s">
        <v>10</v>
      </c>
      <c r="C385" s="12">
        <v>36031.5</v>
      </c>
      <c r="D385" s="12">
        <v>3091069.5</v>
      </c>
      <c r="E385" s="12">
        <f>SUMIFS(Лист2!$C:$C,Лист2!$A:$A,$A385,Лист2!$B:$B,$B385)</f>
        <v>21</v>
      </c>
      <c r="F385" s="12">
        <f>SUMIFS(Лист2!$D:$D,Лист2!$A:$A,$A385,Лист2!$B:$B,$B385)</f>
        <v>2046</v>
      </c>
      <c r="G385" s="12">
        <f>SUMIFS(Лист2!$E:$E,Лист2!$A:$A,$A385,Лист2!$B:$B,$B385)</f>
        <v>1853</v>
      </c>
      <c r="H385" s="12">
        <f t="shared" si="10"/>
        <v>147193.78571428571</v>
      </c>
      <c r="I385" s="44">
        <f t="shared" si="11"/>
        <v>21</v>
      </c>
      <c r="J385" s="31">
        <v>384</v>
      </c>
      <c r="K385" s="31" t="s">
        <v>57</v>
      </c>
    </row>
    <row r="386" spans="1:11" ht="14.25" customHeight="1" x14ac:dyDescent="0.35">
      <c r="A386" s="9">
        <v>43982</v>
      </c>
      <c r="B386" s="2" t="s">
        <v>26</v>
      </c>
      <c r="C386" s="10">
        <v>5127</v>
      </c>
      <c r="D386" s="10">
        <v>468835.5</v>
      </c>
      <c r="E386" s="10">
        <f>SUMIFS(Лист2!$C:$C,Лист2!$A:$A,$A386,Лист2!$B:$B,$B386)</f>
        <v>6</v>
      </c>
      <c r="F386" s="10">
        <f>SUMIFS(Лист2!$D:$D,Лист2!$A:$A,$A386,Лист2!$B:$B,$B386)</f>
        <v>261</v>
      </c>
      <c r="G386" s="10">
        <f>SUMIFS(Лист2!$E:$E,Лист2!$A:$A,$A386,Лист2!$B:$B,$B386)</f>
        <v>188</v>
      </c>
      <c r="H386" s="10">
        <f t="shared" ref="H386:H449" si="12">IFERROR($D386/$E386,0)</f>
        <v>78139.25</v>
      </c>
      <c r="I386" s="43">
        <f t="shared" ref="I386:I449" si="13">WEEKNUM($A386,21)</f>
        <v>22</v>
      </c>
      <c r="J386" s="30">
        <v>385</v>
      </c>
      <c r="K386" s="30" t="s">
        <v>58</v>
      </c>
    </row>
    <row r="387" spans="1:11" ht="14.25" customHeight="1" x14ac:dyDescent="0.35">
      <c r="A387" s="11">
        <v>43962</v>
      </c>
      <c r="B387" s="4" t="s">
        <v>10</v>
      </c>
      <c r="C387" s="12">
        <v>27187.5</v>
      </c>
      <c r="D387" s="12">
        <v>2479396.5</v>
      </c>
      <c r="E387" s="12">
        <f>SUMIFS(Лист2!$C:$C,Лист2!$A:$A,$A387,Лист2!$B:$B,$B387)</f>
        <v>21</v>
      </c>
      <c r="F387" s="12">
        <f>SUMIFS(Лист2!$D:$D,Лист2!$A:$A,$A387,Лист2!$B:$B,$B387)</f>
        <v>1597</v>
      </c>
      <c r="G387" s="12">
        <f>SUMIFS(Лист2!$E:$E,Лист2!$A:$A,$A387,Лист2!$B:$B,$B387)</f>
        <v>1457</v>
      </c>
      <c r="H387" s="12">
        <f t="shared" si="12"/>
        <v>118066.5</v>
      </c>
      <c r="I387" s="44">
        <f t="shared" si="13"/>
        <v>20</v>
      </c>
      <c r="J387" s="31">
        <v>386</v>
      </c>
      <c r="K387" s="31" t="s">
        <v>56</v>
      </c>
    </row>
    <row r="388" spans="1:11" ht="14.25" customHeight="1" x14ac:dyDescent="0.35">
      <c r="A388" s="9">
        <v>43981</v>
      </c>
      <c r="B388" s="2" t="s">
        <v>23</v>
      </c>
      <c r="C388" s="10">
        <v>20688</v>
      </c>
      <c r="D388" s="10">
        <v>1773154.5</v>
      </c>
      <c r="E388" s="10">
        <f>SUMIFS(Лист2!$C:$C,Лист2!$A:$A,$A388,Лист2!$B:$B,$B388)</f>
        <v>18</v>
      </c>
      <c r="F388" s="10">
        <f>SUMIFS(Лист2!$D:$D,Лист2!$A:$A,$A388,Лист2!$B:$B,$B388)</f>
        <v>1216</v>
      </c>
      <c r="G388" s="10">
        <f>SUMIFS(Лист2!$E:$E,Лист2!$A:$A,$A388,Лист2!$B:$B,$B388)</f>
        <v>1101</v>
      </c>
      <c r="H388" s="10">
        <f t="shared" si="12"/>
        <v>98508.583333333328</v>
      </c>
      <c r="I388" s="43">
        <f t="shared" si="13"/>
        <v>22</v>
      </c>
      <c r="J388" s="30">
        <v>387</v>
      </c>
      <c r="K388" s="30" t="s">
        <v>58</v>
      </c>
    </row>
    <row r="389" spans="1:11" ht="14.25" customHeight="1" x14ac:dyDescent="0.35">
      <c r="A389" s="11">
        <v>43979</v>
      </c>
      <c r="B389" s="4" t="s">
        <v>23</v>
      </c>
      <c r="C389" s="12">
        <v>15678</v>
      </c>
      <c r="D389" s="12">
        <v>1387443</v>
      </c>
      <c r="E389" s="12">
        <f>SUMIFS(Лист2!$C:$C,Лист2!$A:$A,$A389,Лист2!$B:$B,$B389)</f>
        <v>18</v>
      </c>
      <c r="F389" s="12">
        <f>SUMIFS(Лист2!$D:$D,Лист2!$A:$A,$A389,Лист2!$B:$B,$B389)</f>
        <v>1020</v>
      </c>
      <c r="G389" s="12">
        <f>SUMIFS(Лист2!$E:$E,Лист2!$A:$A,$A389,Лист2!$B:$B,$B389)</f>
        <v>911</v>
      </c>
      <c r="H389" s="12">
        <f t="shared" si="12"/>
        <v>77080.166666666672</v>
      </c>
      <c r="I389" s="44">
        <f t="shared" si="13"/>
        <v>22</v>
      </c>
      <c r="J389" s="31">
        <v>388</v>
      </c>
      <c r="K389" s="31" t="s">
        <v>58</v>
      </c>
    </row>
    <row r="390" spans="1:11" ht="14.25" customHeight="1" x14ac:dyDescent="0.35">
      <c r="A390" s="9">
        <v>43969</v>
      </c>
      <c r="B390" s="2" t="s">
        <v>10</v>
      </c>
      <c r="C390" s="10">
        <v>31329</v>
      </c>
      <c r="D390" s="10">
        <v>2826379.5</v>
      </c>
      <c r="E390" s="10">
        <f>SUMIFS(Лист2!$C:$C,Лист2!$A:$A,$A390,Лист2!$B:$B,$B390)</f>
        <v>21</v>
      </c>
      <c r="F390" s="10">
        <f>SUMIFS(Лист2!$D:$D,Лист2!$A:$A,$A390,Лист2!$B:$B,$B390)</f>
        <v>1834</v>
      </c>
      <c r="G390" s="10">
        <f>SUMIFS(Лист2!$E:$E,Лист2!$A:$A,$A390,Лист2!$B:$B,$B390)</f>
        <v>1660</v>
      </c>
      <c r="H390" s="10">
        <f t="shared" si="12"/>
        <v>134589.5</v>
      </c>
      <c r="I390" s="43">
        <f t="shared" si="13"/>
        <v>21</v>
      </c>
      <c r="J390" s="30">
        <v>389</v>
      </c>
      <c r="K390" s="30" t="s">
        <v>57</v>
      </c>
    </row>
    <row r="391" spans="1:11" ht="14.25" customHeight="1" x14ac:dyDescent="0.35">
      <c r="A391" s="11">
        <v>43965</v>
      </c>
      <c r="B391" s="4" t="s">
        <v>10</v>
      </c>
      <c r="C391" s="12">
        <v>29658</v>
      </c>
      <c r="D391" s="12">
        <v>2703132</v>
      </c>
      <c r="E391" s="12">
        <f>SUMIFS(Лист2!$C:$C,Лист2!$A:$A,$A391,Лист2!$B:$B,$B391)</f>
        <v>21</v>
      </c>
      <c r="F391" s="12">
        <f>SUMIFS(Лист2!$D:$D,Лист2!$A:$A,$A391,Лист2!$B:$B,$B391)</f>
        <v>1706</v>
      </c>
      <c r="G391" s="12">
        <f>SUMIFS(Лист2!$E:$E,Лист2!$A:$A,$A391,Лист2!$B:$B,$B391)</f>
        <v>1548</v>
      </c>
      <c r="H391" s="12">
        <f t="shared" si="12"/>
        <v>128720.57142857143</v>
      </c>
      <c r="I391" s="44">
        <f t="shared" si="13"/>
        <v>20</v>
      </c>
      <c r="J391" s="31">
        <v>390</v>
      </c>
      <c r="K391" s="31" t="s">
        <v>56</v>
      </c>
    </row>
    <row r="392" spans="1:11" ht="14.25" customHeight="1" x14ac:dyDescent="0.35">
      <c r="A392" s="9">
        <v>43966</v>
      </c>
      <c r="B392" s="2" t="s">
        <v>10</v>
      </c>
      <c r="C392" s="10">
        <v>34150.5</v>
      </c>
      <c r="D392" s="10">
        <v>3038293.5</v>
      </c>
      <c r="E392" s="10">
        <f>SUMIFS(Лист2!$C:$C,Лист2!$A:$A,$A392,Лист2!$B:$B,$B392)</f>
        <v>21</v>
      </c>
      <c r="F392" s="10">
        <f>SUMIFS(Лист2!$D:$D,Лист2!$A:$A,$A392,Лист2!$B:$B,$B392)</f>
        <v>1926</v>
      </c>
      <c r="G392" s="10">
        <f>SUMIFS(Лист2!$E:$E,Лист2!$A:$A,$A392,Лист2!$B:$B,$B392)</f>
        <v>1742</v>
      </c>
      <c r="H392" s="10">
        <f t="shared" si="12"/>
        <v>144680.64285714287</v>
      </c>
      <c r="I392" s="43">
        <f t="shared" si="13"/>
        <v>20</v>
      </c>
      <c r="J392" s="30">
        <v>391</v>
      </c>
      <c r="K392" s="30" t="s">
        <v>56</v>
      </c>
    </row>
    <row r="393" spans="1:11" ht="14.25" customHeight="1" x14ac:dyDescent="0.35">
      <c r="A393" s="11">
        <v>43983</v>
      </c>
      <c r="B393" s="4" t="s">
        <v>10</v>
      </c>
      <c r="C393" s="12">
        <v>31947</v>
      </c>
      <c r="D393" s="12">
        <v>2945035.5</v>
      </c>
      <c r="E393" s="12">
        <f>SUMIFS(Лист2!$C:$C,Лист2!$A:$A,$A393,Лист2!$B:$B,$B393)</f>
        <v>21</v>
      </c>
      <c r="F393" s="12">
        <f>SUMIFS(Лист2!$D:$D,Лист2!$A:$A,$A393,Лист2!$B:$B,$B393)</f>
        <v>2025</v>
      </c>
      <c r="G393" s="12">
        <f>SUMIFS(Лист2!$E:$E,Лист2!$A:$A,$A393,Лист2!$B:$B,$B393)</f>
        <v>1849</v>
      </c>
      <c r="H393" s="12">
        <f t="shared" si="12"/>
        <v>140239.78571428571</v>
      </c>
      <c r="I393" s="44">
        <f t="shared" si="13"/>
        <v>23</v>
      </c>
      <c r="J393" s="31">
        <v>392</v>
      </c>
      <c r="K393" s="31" t="s">
        <v>59</v>
      </c>
    </row>
    <row r="394" spans="1:11" ht="14.25" customHeight="1" x14ac:dyDescent="0.35">
      <c r="A394" s="9">
        <v>43982</v>
      </c>
      <c r="B394" s="2" t="s">
        <v>24</v>
      </c>
      <c r="C394" s="10">
        <v>10416</v>
      </c>
      <c r="D394" s="10">
        <v>866023.5</v>
      </c>
      <c r="E394" s="10">
        <f>SUMIFS(Лист2!$C:$C,Лист2!$A:$A,$A394,Лист2!$B:$B,$B394)</f>
        <v>7</v>
      </c>
      <c r="F394" s="10">
        <f>SUMIFS(Лист2!$D:$D,Лист2!$A:$A,$A394,Лист2!$B:$B,$B394)</f>
        <v>530</v>
      </c>
      <c r="G394" s="10">
        <f>SUMIFS(Лист2!$E:$E,Лист2!$A:$A,$A394,Лист2!$B:$B,$B394)</f>
        <v>447</v>
      </c>
      <c r="H394" s="10">
        <f t="shared" si="12"/>
        <v>123717.64285714286</v>
      </c>
      <c r="I394" s="43">
        <f t="shared" si="13"/>
        <v>22</v>
      </c>
      <c r="J394" s="30">
        <v>393</v>
      </c>
      <c r="K394" s="30" t="s">
        <v>58</v>
      </c>
    </row>
    <row r="395" spans="1:11" ht="14.25" customHeight="1" x14ac:dyDescent="0.35">
      <c r="A395" s="11">
        <v>43980</v>
      </c>
      <c r="B395" s="4" t="s">
        <v>10</v>
      </c>
      <c r="C395" s="12">
        <v>35431.5</v>
      </c>
      <c r="D395" s="12">
        <v>3193167</v>
      </c>
      <c r="E395" s="12">
        <f>SUMIFS(Лист2!$C:$C,Лист2!$A:$A,$A395,Лист2!$B:$B,$B395)</f>
        <v>20</v>
      </c>
      <c r="F395" s="12">
        <f>SUMIFS(Лист2!$D:$D,Лист2!$A:$A,$A395,Лист2!$B:$B,$B395)</f>
        <v>2111</v>
      </c>
      <c r="G395" s="12">
        <f>SUMIFS(Лист2!$E:$E,Лист2!$A:$A,$A395,Лист2!$B:$B,$B395)</f>
        <v>1917</v>
      </c>
      <c r="H395" s="12">
        <f t="shared" si="12"/>
        <v>159658.35</v>
      </c>
      <c r="I395" s="44">
        <f t="shared" si="13"/>
        <v>22</v>
      </c>
      <c r="J395" s="31">
        <v>394</v>
      </c>
      <c r="K395" s="31" t="s">
        <v>58</v>
      </c>
    </row>
    <row r="396" spans="1:11" ht="14.25" customHeight="1" x14ac:dyDescent="0.35">
      <c r="A396" s="9">
        <v>43978</v>
      </c>
      <c r="B396" s="2" t="s">
        <v>11</v>
      </c>
      <c r="C396" s="10">
        <v>78544.5</v>
      </c>
      <c r="D396" s="10">
        <v>6701083.5</v>
      </c>
      <c r="E396" s="10">
        <f>SUMIFS(Лист2!$C:$C,Лист2!$A:$A,$A396,Лист2!$B:$B,$B396)</f>
        <v>31</v>
      </c>
      <c r="F396" s="10">
        <f>SUMIFS(Лист2!$D:$D,Лист2!$A:$A,$A396,Лист2!$B:$B,$B396)</f>
        <v>5330</v>
      </c>
      <c r="G396" s="10">
        <f>SUMIFS(Лист2!$E:$E,Лист2!$A:$A,$A396,Лист2!$B:$B,$B396)</f>
        <v>4977</v>
      </c>
      <c r="H396" s="10">
        <f t="shared" si="12"/>
        <v>216163.98387096773</v>
      </c>
      <c r="I396" s="43">
        <f t="shared" si="13"/>
        <v>22</v>
      </c>
      <c r="J396" s="30">
        <v>395</v>
      </c>
      <c r="K396" s="30" t="s">
        <v>58</v>
      </c>
    </row>
    <row r="397" spans="1:11" ht="14.25" customHeight="1" x14ac:dyDescent="0.35">
      <c r="A397" s="11">
        <v>43973</v>
      </c>
      <c r="B397" s="4" t="s">
        <v>11</v>
      </c>
      <c r="C397" s="12">
        <v>97963.5</v>
      </c>
      <c r="D397" s="12">
        <v>7728465</v>
      </c>
      <c r="E397" s="12">
        <f>SUMIFS(Лист2!$C:$C,Лист2!$A:$A,$A397,Лист2!$B:$B,$B397)</f>
        <v>31</v>
      </c>
      <c r="F397" s="12">
        <f>SUMIFS(Лист2!$D:$D,Лист2!$A:$A,$A397,Лист2!$B:$B,$B397)</f>
        <v>5965</v>
      </c>
      <c r="G397" s="12">
        <f>SUMIFS(Лист2!$E:$E,Лист2!$A:$A,$A397,Лист2!$B:$B,$B397)</f>
        <v>5533</v>
      </c>
      <c r="H397" s="12">
        <f t="shared" si="12"/>
        <v>249305.32258064515</v>
      </c>
      <c r="I397" s="44">
        <f t="shared" si="13"/>
        <v>21</v>
      </c>
      <c r="J397" s="31">
        <v>396</v>
      </c>
      <c r="K397" s="31" t="s">
        <v>57</v>
      </c>
    </row>
    <row r="398" spans="1:11" ht="14.25" customHeight="1" x14ac:dyDescent="0.35">
      <c r="A398" s="9">
        <v>43983</v>
      </c>
      <c r="B398" s="2" t="s">
        <v>11</v>
      </c>
      <c r="C398" s="10">
        <v>77269.5</v>
      </c>
      <c r="D398" s="10">
        <v>6829921.5</v>
      </c>
      <c r="E398" s="10">
        <f>SUMIFS(Лист2!$C:$C,Лист2!$A:$A,$A398,Лист2!$B:$B,$B398)</f>
        <v>31</v>
      </c>
      <c r="F398" s="10">
        <f>SUMIFS(Лист2!$D:$D,Лист2!$A:$A,$A398,Лист2!$B:$B,$B398)</f>
        <v>5468</v>
      </c>
      <c r="G398" s="10">
        <f>SUMIFS(Лист2!$E:$E,Лист2!$A:$A,$A398,Лист2!$B:$B,$B398)</f>
        <v>5081</v>
      </c>
      <c r="H398" s="10">
        <f t="shared" si="12"/>
        <v>220320.04838709679</v>
      </c>
      <c r="I398" s="43">
        <f t="shared" si="13"/>
        <v>23</v>
      </c>
      <c r="J398" s="30">
        <v>397</v>
      </c>
      <c r="K398" s="30" t="s">
        <v>59</v>
      </c>
    </row>
    <row r="399" spans="1:11" ht="14.25" customHeight="1" x14ac:dyDescent="0.35">
      <c r="A399" s="11">
        <v>43982</v>
      </c>
      <c r="B399" s="4" t="s">
        <v>23</v>
      </c>
      <c r="C399" s="12">
        <v>16143</v>
      </c>
      <c r="D399" s="12">
        <v>1423410</v>
      </c>
      <c r="E399" s="12">
        <f>SUMIFS(Лист2!$C:$C,Лист2!$A:$A,$A399,Лист2!$B:$B,$B399)</f>
        <v>18</v>
      </c>
      <c r="F399" s="12">
        <f>SUMIFS(Лист2!$D:$D,Лист2!$A:$A,$A399,Лист2!$B:$B,$B399)</f>
        <v>1029</v>
      </c>
      <c r="G399" s="12">
        <f>SUMIFS(Лист2!$E:$E,Лист2!$A:$A,$A399,Лист2!$B:$B,$B399)</f>
        <v>925</v>
      </c>
      <c r="H399" s="12">
        <f t="shared" si="12"/>
        <v>79078.333333333328</v>
      </c>
      <c r="I399" s="44">
        <f t="shared" si="13"/>
        <v>22</v>
      </c>
      <c r="J399" s="31">
        <v>398</v>
      </c>
      <c r="K399" s="31" t="s">
        <v>58</v>
      </c>
    </row>
    <row r="400" spans="1:11" ht="14.25" customHeight="1" x14ac:dyDescent="0.35">
      <c r="A400" s="9">
        <v>43962</v>
      </c>
      <c r="B400" s="2" t="s">
        <v>11</v>
      </c>
      <c r="C400" s="10">
        <v>72220.5</v>
      </c>
      <c r="D400" s="10">
        <v>6398719.5</v>
      </c>
      <c r="E400" s="10">
        <f>SUMIFS(Лист2!$C:$C,Лист2!$A:$A,$A400,Лист2!$B:$B,$B400)</f>
        <v>31</v>
      </c>
      <c r="F400" s="10">
        <f>SUMIFS(Лист2!$D:$D,Лист2!$A:$A,$A400,Лист2!$B:$B,$B400)</f>
        <v>4826</v>
      </c>
      <c r="G400" s="10">
        <f>SUMIFS(Лист2!$E:$E,Лист2!$A:$A,$A400,Лист2!$B:$B,$B400)</f>
        <v>4483</v>
      </c>
      <c r="H400" s="10">
        <f t="shared" si="12"/>
        <v>206410.30645161291</v>
      </c>
      <c r="I400" s="43">
        <f t="shared" si="13"/>
        <v>20</v>
      </c>
      <c r="J400" s="30">
        <v>399</v>
      </c>
      <c r="K400" s="30" t="s">
        <v>56</v>
      </c>
    </row>
    <row r="401" spans="1:11" ht="14.25" customHeight="1" x14ac:dyDescent="0.35">
      <c r="A401" s="11">
        <v>43969</v>
      </c>
      <c r="B401" s="4" t="s">
        <v>11</v>
      </c>
      <c r="C401" s="12">
        <v>78058.5</v>
      </c>
      <c r="D401" s="12">
        <v>6609714</v>
      </c>
      <c r="E401" s="12">
        <f>SUMIFS(Лист2!$C:$C,Лист2!$A:$A,$A401,Лист2!$B:$B,$B401)</f>
        <v>31</v>
      </c>
      <c r="F401" s="12">
        <f>SUMIFS(Лист2!$D:$D,Лист2!$A:$A,$A401,Лист2!$B:$B,$B401)</f>
        <v>5165</v>
      </c>
      <c r="G401" s="12">
        <f>SUMIFS(Лист2!$E:$E,Лист2!$A:$A,$A401,Лист2!$B:$B,$B401)</f>
        <v>4813</v>
      </c>
      <c r="H401" s="12">
        <f t="shared" si="12"/>
        <v>213216.5806451613</v>
      </c>
      <c r="I401" s="44">
        <f t="shared" si="13"/>
        <v>21</v>
      </c>
      <c r="J401" s="31">
        <v>400</v>
      </c>
      <c r="K401" s="31" t="s">
        <v>57</v>
      </c>
    </row>
    <row r="402" spans="1:11" ht="14.25" customHeight="1" x14ac:dyDescent="0.35">
      <c r="A402" s="9">
        <v>43965</v>
      </c>
      <c r="B402" s="2" t="s">
        <v>11</v>
      </c>
      <c r="C402" s="10">
        <v>70498.5</v>
      </c>
      <c r="D402" s="10">
        <v>6053649</v>
      </c>
      <c r="E402" s="10">
        <f>SUMIFS(Лист2!$C:$C,Лист2!$A:$A,$A402,Лист2!$B:$B,$B402)</f>
        <v>31</v>
      </c>
      <c r="F402" s="10">
        <f>SUMIFS(Лист2!$D:$D,Лист2!$A:$A,$A402,Лист2!$B:$B,$B402)</f>
        <v>4695</v>
      </c>
      <c r="G402" s="10">
        <f>SUMIFS(Лист2!$E:$E,Лист2!$A:$A,$A402,Лист2!$B:$B,$B402)</f>
        <v>4372</v>
      </c>
      <c r="H402" s="10">
        <f t="shared" si="12"/>
        <v>195279</v>
      </c>
      <c r="I402" s="43">
        <f t="shared" si="13"/>
        <v>20</v>
      </c>
      <c r="J402" s="30">
        <v>401</v>
      </c>
      <c r="K402" s="30" t="s">
        <v>56</v>
      </c>
    </row>
    <row r="403" spans="1:11" ht="14.25" customHeight="1" x14ac:dyDescent="0.35">
      <c r="A403" s="11">
        <v>43966</v>
      </c>
      <c r="B403" s="4" t="s">
        <v>11</v>
      </c>
      <c r="C403" s="12">
        <v>78961.5</v>
      </c>
      <c r="D403" s="12">
        <v>6876454.5</v>
      </c>
      <c r="E403" s="12">
        <f>SUMIFS(Лист2!$C:$C,Лист2!$A:$A,$A403,Лист2!$B:$B,$B403)</f>
        <v>31</v>
      </c>
      <c r="F403" s="12">
        <f>SUMIFS(Лист2!$D:$D,Лист2!$A:$A,$A403,Лист2!$B:$B,$B403)</f>
        <v>5184</v>
      </c>
      <c r="G403" s="12">
        <f>SUMIFS(Лист2!$E:$E,Лист2!$A:$A,$A403,Лист2!$B:$B,$B403)</f>
        <v>4778</v>
      </c>
      <c r="H403" s="12">
        <f t="shared" si="12"/>
        <v>221821.11290322582</v>
      </c>
      <c r="I403" s="44">
        <f t="shared" si="13"/>
        <v>20</v>
      </c>
      <c r="J403" s="31">
        <v>402</v>
      </c>
      <c r="K403" s="31" t="s">
        <v>56</v>
      </c>
    </row>
    <row r="404" spans="1:11" ht="14.25" customHeight="1" x14ac:dyDescent="0.35">
      <c r="A404" s="9">
        <v>43978</v>
      </c>
      <c r="B404" s="2" t="s">
        <v>12</v>
      </c>
      <c r="C404" s="10">
        <v>12490.5</v>
      </c>
      <c r="D404" s="10">
        <v>1054798.5</v>
      </c>
      <c r="E404" s="10">
        <f>SUMIFS(Лист2!$C:$C,Лист2!$A:$A,$A404,Лист2!$B:$B,$B404)</f>
        <v>10</v>
      </c>
      <c r="F404" s="10">
        <f>SUMIFS(Лист2!$D:$D,Лист2!$A:$A,$A404,Лист2!$B:$B,$B404)</f>
        <v>757</v>
      </c>
      <c r="G404" s="10">
        <f>SUMIFS(Лист2!$E:$E,Лист2!$A:$A,$A404,Лист2!$B:$B,$B404)</f>
        <v>660</v>
      </c>
      <c r="H404" s="10">
        <f t="shared" si="12"/>
        <v>105479.85</v>
      </c>
      <c r="I404" s="43">
        <f t="shared" si="13"/>
        <v>22</v>
      </c>
      <c r="J404" s="30">
        <v>403</v>
      </c>
      <c r="K404" s="30" t="s">
        <v>58</v>
      </c>
    </row>
    <row r="405" spans="1:11" ht="14.25" customHeight="1" x14ac:dyDescent="0.35">
      <c r="A405" s="11">
        <v>43973</v>
      </c>
      <c r="B405" s="4" t="s">
        <v>12</v>
      </c>
      <c r="C405" s="12">
        <v>18036</v>
      </c>
      <c r="D405" s="12">
        <v>1455049.5</v>
      </c>
      <c r="E405" s="12">
        <f>SUMIFS(Лист2!$C:$C,Лист2!$A:$A,$A405,Лист2!$B:$B,$B405)</f>
        <v>10</v>
      </c>
      <c r="F405" s="12">
        <f>SUMIFS(Лист2!$D:$D,Лист2!$A:$A,$A405,Лист2!$B:$B,$B405)</f>
        <v>965</v>
      </c>
      <c r="G405" s="12">
        <f>SUMIFS(Лист2!$E:$E,Лист2!$A:$A,$A405,Лист2!$B:$B,$B405)</f>
        <v>861</v>
      </c>
      <c r="H405" s="12">
        <f t="shared" si="12"/>
        <v>145504.95000000001</v>
      </c>
      <c r="I405" s="44">
        <f t="shared" si="13"/>
        <v>21</v>
      </c>
      <c r="J405" s="31">
        <v>404</v>
      </c>
      <c r="K405" s="31" t="s">
        <v>57</v>
      </c>
    </row>
    <row r="406" spans="1:11" ht="14.25" customHeight="1" x14ac:dyDescent="0.35">
      <c r="A406" s="9">
        <v>43983</v>
      </c>
      <c r="B406" s="2" t="s">
        <v>12</v>
      </c>
      <c r="C406" s="10">
        <v>11416.5</v>
      </c>
      <c r="D406" s="10">
        <v>1007742</v>
      </c>
      <c r="E406" s="10">
        <f>SUMIFS(Лист2!$C:$C,Лист2!$A:$A,$A406,Лист2!$B:$B,$B406)</f>
        <v>10</v>
      </c>
      <c r="F406" s="10">
        <f>SUMIFS(Лист2!$D:$D,Лист2!$A:$A,$A406,Лист2!$B:$B,$B406)</f>
        <v>719</v>
      </c>
      <c r="G406" s="10">
        <f>SUMIFS(Лист2!$E:$E,Лист2!$A:$A,$A406,Лист2!$B:$B,$B406)</f>
        <v>627</v>
      </c>
      <c r="H406" s="10">
        <f t="shared" si="12"/>
        <v>100774.2</v>
      </c>
      <c r="I406" s="43">
        <f t="shared" si="13"/>
        <v>23</v>
      </c>
      <c r="J406" s="30">
        <v>405</v>
      </c>
      <c r="K406" s="30" t="s">
        <v>59</v>
      </c>
    </row>
    <row r="407" spans="1:11" ht="14.25" customHeight="1" x14ac:dyDescent="0.35">
      <c r="A407" s="11">
        <v>43962</v>
      </c>
      <c r="B407" s="4" t="s">
        <v>12</v>
      </c>
      <c r="C407" s="12">
        <v>9007.5</v>
      </c>
      <c r="D407" s="12">
        <v>734335.5</v>
      </c>
      <c r="E407" s="12">
        <f>SUMIFS(Лист2!$C:$C,Лист2!$A:$A,$A407,Лист2!$B:$B,$B407)</f>
        <v>10</v>
      </c>
      <c r="F407" s="12">
        <f>SUMIFS(Лист2!$D:$D,Лист2!$A:$A,$A407,Лист2!$B:$B,$B407)</f>
        <v>494</v>
      </c>
      <c r="G407" s="12">
        <f>SUMIFS(Лист2!$E:$E,Лист2!$A:$A,$A407,Лист2!$B:$B,$B407)</f>
        <v>421</v>
      </c>
      <c r="H407" s="12">
        <f t="shared" si="12"/>
        <v>73433.55</v>
      </c>
      <c r="I407" s="44">
        <f t="shared" si="13"/>
        <v>20</v>
      </c>
      <c r="J407" s="31">
        <v>406</v>
      </c>
      <c r="K407" s="31" t="s">
        <v>56</v>
      </c>
    </row>
    <row r="408" spans="1:11" ht="14.25" customHeight="1" x14ac:dyDescent="0.35">
      <c r="A408" s="9">
        <v>43980</v>
      </c>
      <c r="B408" s="2" t="s">
        <v>11</v>
      </c>
      <c r="C408" s="10">
        <v>87552</v>
      </c>
      <c r="D408" s="10">
        <v>7387116</v>
      </c>
      <c r="E408" s="10">
        <f>SUMIFS(Лист2!$C:$C,Лист2!$A:$A,$A408,Лист2!$B:$B,$B408)</f>
        <v>31</v>
      </c>
      <c r="F408" s="10">
        <f>SUMIFS(Лист2!$D:$D,Лист2!$A:$A,$A408,Лист2!$B:$B,$B408)</f>
        <v>5751</v>
      </c>
      <c r="G408" s="10">
        <f>SUMIFS(Лист2!$E:$E,Лист2!$A:$A,$A408,Лист2!$B:$B,$B408)</f>
        <v>5319</v>
      </c>
      <c r="H408" s="10">
        <f t="shared" si="12"/>
        <v>238294.06451612903</v>
      </c>
      <c r="I408" s="43">
        <f t="shared" si="13"/>
        <v>22</v>
      </c>
      <c r="J408" s="30">
        <v>407</v>
      </c>
      <c r="K408" s="30" t="s">
        <v>58</v>
      </c>
    </row>
    <row r="409" spans="1:11" ht="14.25" customHeight="1" x14ac:dyDescent="0.35">
      <c r="A409" s="11">
        <v>43969</v>
      </c>
      <c r="B409" s="4" t="s">
        <v>12</v>
      </c>
      <c r="C409" s="12">
        <v>11680.5</v>
      </c>
      <c r="D409" s="12">
        <v>936427.5</v>
      </c>
      <c r="E409" s="12">
        <f>SUMIFS(Лист2!$C:$C,Лист2!$A:$A,$A409,Лист2!$B:$B,$B409)</f>
        <v>10</v>
      </c>
      <c r="F409" s="12">
        <f>SUMIFS(Лист2!$D:$D,Лист2!$A:$A,$A409,Лист2!$B:$B,$B409)</f>
        <v>645</v>
      </c>
      <c r="G409" s="12">
        <f>SUMIFS(Лист2!$E:$E,Лист2!$A:$A,$A409,Лист2!$B:$B,$B409)</f>
        <v>565</v>
      </c>
      <c r="H409" s="12">
        <f t="shared" si="12"/>
        <v>93642.75</v>
      </c>
      <c r="I409" s="44">
        <f t="shared" si="13"/>
        <v>21</v>
      </c>
      <c r="J409" s="31">
        <v>408</v>
      </c>
      <c r="K409" s="31" t="s">
        <v>57</v>
      </c>
    </row>
    <row r="410" spans="1:11" ht="14.25" customHeight="1" x14ac:dyDescent="0.35">
      <c r="A410" s="9">
        <v>43965</v>
      </c>
      <c r="B410" s="2" t="s">
        <v>12</v>
      </c>
      <c r="C410" s="10">
        <v>12037.5</v>
      </c>
      <c r="D410" s="10">
        <v>981564</v>
      </c>
      <c r="E410" s="10">
        <f>SUMIFS(Лист2!$C:$C,Лист2!$A:$A,$A410,Лист2!$B:$B,$B410)</f>
        <v>10</v>
      </c>
      <c r="F410" s="10">
        <f>SUMIFS(Лист2!$D:$D,Лист2!$A:$A,$A410,Лист2!$B:$B,$B410)</f>
        <v>627</v>
      </c>
      <c r="G410" s="10">
        <f>SUMIFS(Лист2!$E:$E,Лист2!$A:$A,$A410,Лист2!$B:$B,$B410)</f>
        <v>545</v>
      </c>
      <c r="H410" s="10">
        <f t="shared" si="12"/>
        <v>98156.4</v>
      </c>
      <c r="I410" s="43">
        <f t="shared" si="13"/>
        <v>20</v>
      </c>
      <c r="J410" s="30">
        <v>409</v>
      </c>
      <c r="K410" s="30" t="s">
        <v>56</v>
      </c>
    </row>
    <row r="411" spans="1:11" ht="14.25" customHeight="1" x14ac:dyDescent="0.35">
      <c r="A411" s="11">
        <v>43966</v>
      </c>
      <c r="B411" s="4" t="s">
        <v>12</v>
      </c>
      <c r="C411" s="12">
        <v>14421</v>
      </c>
      <c r="D411" s="12">
        <v>1150579.5</v>
      </c>
      <c r="E411" s="12">
        <f>SUMIFS(Лист2!$C:$C,Лист2!$A:$A,$A411,Лист2!$B:$B,$B411)</f>
        <v>10</v>
      </c>
      <c r="F411" s="12">
        <f>SUMIFS(Лист2!$D:$D,Лист2!$A:$A,$A411,Лист2!$B:$B,$B411)</f>
        <v>743</v>
      </c>
      <c r="G411" s="12">
        <f>SUMIFS(Лист2!$E:$E,Лист2!$A:$A,$A411,Лист2!$B:$B,$B411)</f>
        <v>652</v>
      </c>
      <c r="H411" s="12">
        <f t="shared" si="12"/>
        <v>115057.95</v>
      </c>
      <c r="I411" s="44">
        <f t="shared" si="13"/>
        <v>20</v>
      </c>
      <c r="J411" s="31">
        <v>410</v>
      </c>
      <c r="K411" s="31" t="s">
        <v>56</v>
      </c>
    </row>
    <row r="412" spans="1:11" ht="14.25" customHeight="1" x14ac:dyDescent="0.35">
      <c r="A412" s="9">
        <v>43980</v>
      </c>
      <c r="B412" s="2" t="s">
        <v>12</v>
      </c>
      <c r="C412" s="10">
        <v>14823</v>
      </c>
      <c r="D412" s="10">
        <v>1273464</v>
      </c>
      <c r="E412" s="10">
        <f>SUMIFS(Лист2!$C:$C,Лист2!$A:$A,$A412,Лист2!$B:$B,$B412)</f>
        <v>10</v>
      </c>
      <c r="F412" s="10">
        <f>SUMIFS(Лист2!$D:$D,Лист2!$A:$A,$A412,Лист2!$B:$B,$B412)</f>
        <v>873</v>
      </c>
      <c r="G412" s="10">
        <f>SUMIFS(Лист2!$E:$E,Лист2!$A:$A,$A412,Лист2!$B:$B,$B412)</f>
        <v>770</v>
      </c>
      <c r="H412" s="10">
        <f t="shared" si="12"/>
        <v>127346.4</v>
      </c>
      <c r="I412" s="43">
        <f t="shared" si="13"/>
        <v>22</v>
      </c>
      <c r="J412" s="30">
        <v>411</v>
      </c>
      <c r="K412" s="30" t="s">
        <v>58</v>
      </c>
    </row>
    <row r="413" spans="1:11" ht="14.25" customHeight="1" x14ac:dyDescent="0.35">
      <c r="A413" s="11">
        <v>43978</v>
      </c>
      <c r="B413" s="4" t="s">
        <v>13</v>
      </c>
      <c r="C413" s="12">
        <v>31257</v>
      </c>
      <c r="D413" s="12">
        <v>2924133</v>
      </c>
      <c r="E413" s="12">
        <f>SUMIFS(Лист2!$C:$C,Лист2!$A:$A,$A413,Лист2!$B:$B,$B413)</f>
        <v>20</v>
      </c>
      <c r="F413" s="12">
        <f>SUMIFS(Лист2!$D:$D,Лист2!$A:$A,$A413,Лист2!$B:$B,$B413)</f>
        <v>2079</v>
      </c>
      <c r="G413" s="12">
        <f>SUMIFS(Лист2!$E:$E,Лист2!$A:$A,$A413,Лист2!$B:$B,$B413)</f>
        <v>1856</v>
      </c>
      <c r="H413" s="12">
        <f t="shared" si="12"/>
        <v>146206.65</v>
      </c>
      <c r="I413" s="44">
        <f t="shared" si="13"/>
        <v>22</v>
      </c>
      <c r="J413" s="31">
        <v>412</v>
      </c>
      <c r="K413" s="31" t="s">
        <v>58</v>
      </c>
    </row>
    <row r="414" spans="1:11" ht="14.25" customHeight="1" x14ac:dyDescent="0.35">
      <c r="A414" s="9">
        <v>43973</v>
      </c>
      <c r="B414" s="2" t="s">
        <v>13</v>
      </c>
      <c r="C414" s="10">
        <v>38074.5</v>
      </c>
      <c r="D414" s="10">
        <v>3414180</v>
      </c>
      <c r="E414" s="10">
        <f>SUMIFS(Лист2!$C:$C,Лист2!$A:$A,$A414,Лист2!$B:$B,$B414)</f>
        <v>20</v>
      </c>
      <c r="F414" s="10">
        <f>SUMIFS(Лист2!$D:$D,Лист2!$A:$A,$A414,Лист2!$B:$B,$B414)</f>
        <v>2306</v>
      </c>
      <c r="G414" s="10">
        <f>SUMIFS(Лист2!$E:$E,Лист2!$A:$A,$A414,Лист2!$B:$B,$B414)</f>
        <v>2054</v>
      </c>
      <c r="H414" s="10">
        <f t="shared" si="12"/>
        <v>170709</v>
      </c>
      <c r="I414" s="43">
        <f t="shared" si="13"/>
        <v>21</v>
      </c>
      <c r="J414" s="30">
        <v>413</v>
      </c>
      <c r="K414" s="30" t="s">
        <v>57</v>
      </c>
    </row>
    <row r="415" spans="1:11" ht="14.25" customHeight="1" x14ac:dyDescent="0.35">
      <c r="A415" s="11">
        <v>43983</v>
      </c>
      <c r="B415" s="4" t="s">
        <v>13</v>
      </c>
      <c r="C415" s="12">
        <v>32170.5</v>
      </c>
      <c r="D415" s="12">
        <v>3013512</v>
      </c>
      <c r="E415" s="12">
        <f>SUMIFS(Лист2!$C:$C,Лист2!$A:$A,$A415,Лист2!$B:$B,$B415)</f>
        <v>20</v>
      </c>
      <c r="F415" s="12">
        <f>SUMIFS(Лист2!$D:$D,Лист2!$A:$A,$A415,Лист2!$B:$B,$B415)</f>
        <v>2136</v>
      </c>
      <c r="G415" s="12">
        <f>SUMIFS(Лист2!$E:$E,Лист2!$A:$A,$A415,Лист2!$B:$B,$B415)</f>
        <v>1899</v>
      </c>
      <c r="H415" s="12">
        <f t="shared" si="12"/>
        <v>150675.6</v>
      </c>
      <c r="I415" s="44">
        <f t="shared" si="13"/>
        <v>23</v>
      </c>
      <c r="J415" s="31">
        <v>414</v>
      </c>
      <c r="K415" s="31" t="s">
        <v>59</v>
      </c>
    </row>
    <row r="416" spans="1:11" ht="14.25" customHeight="1" x14ac:dyDescent="0.35">
      <c r="A416" s="9">
        <v>43962</v>
      </c>
      <c r="B416" s="2" t="s">
        <v>13</v>
      </c>
      <c r="C416" s="10">
        <v>42397.5</v>
      </c>
      <c r="D416" s="10">
        <v>3911979</v>
      </c>
      <c r="E416" s="10">
        <f>SUMIFS(Лист2!$C:$C,Лист2!$A:$A,$A416,Лист2!$B:$B,$B416)</f>
        <v>19</v>
      </c>
      <c r="F416" s="10">
        <f>SUMIFS(Лист2!$D:$D,Лист2!$A:$A,$A416,Лист2!$B:$B,$B416)</f>
        <v>2530</v>
      </c>
      <c r="G416" s="10">
        <f>SUMIFS(Лист2!$E:$E,Лист2!$A:$A,$A416,Лист2!$B:$B,$B416)</f>
        <v>2270</v>
      </c>
      <c r="H416" s="10">
        <f t="shared" si="12"/>
        <v>205893.63157894736</v>
      </c>
      <c r="I416" s="43">
        <f t="shared" si="13"/>
        <v>20</v>
      </c>
      <c r="J416" s="30">
        <v>415</v>
      </c>
      <c r="K416" s="30" t="s">
        <v>56</v>
      </c>
    </row>
    <row r="417" spans="1:11" ht="14.25" customHeight="1" x14ac:dyDescent="0.35">
      <c r="A417" s="11">
        <v>43969</v>
      </c>
      <c r="B417" s="4" t="s">
        <v>13</v>
      </c>
      <c r="C417" s="12">
        <v>28668</v>
      </c>
      <c r="D417" s="12">
        <v>2588148</v>
      </c>
      <c r="E417" s="12">
        <f>SUMIFS(Лист2!$C:$C,Лист2!$A:$A,$A417,Лист2!$B:$B,$B417)</f>
        <v>19</v>
      </c>
      <c r="F417" s="12">
        <f>SUMIFS(Лист2!$D:$D,Лист2!$A:$A,$A417,Лист2!$B:$B,$B417)</f>
        <v>1858</v>
      </c>
      <c r="G417" s="12">
        <f>SUMIFS(Лист2!$E:$E,Лист2!$A:$A,$A417,Лист2!$B:$B,$B417)</f>
        <v>1648</v>
      </c>
      <c r="H417" s="12">
        <f t="shared" si="12"/>
        <v>136218.31578947368</v>
      </c>
      <c r="I417" s="44">
        <f t="shared" si="13"/>
        <v>21</v>
      </c>
      <c r="J417" s="31">
        <v>416</v>
      </c>
      <c r="K417" s="31" t="s">
        <v>57</v>
      </c>
    </row>
    <row r="418" spans="1:11" ht="14.25" customHeight="1" x14ac:dyDescent="0.35">
      <c r="A418" s="9">
        <v>43965</v>
      </c>
      <c r="B418" s="2" t="s">
        <v>13</v>
      </c>
      <c r="C418" s="10">
        <v>27411</v>
      </c>
      <c r="D418" s="10">
        <v>2441520</v>
      </c>
      <c r="E418" s="10">
        <f>SUMIFS(Лист2!$C:$C,Лист2!$A:$A,$A418,Лист2!$B:$B,$B418)</f>
        <v>19</v>
      </c>
      <c r="F418" s="10">
        <f>SUMIFS(Лист2!$D:$D,Лист2!$A:$A,$A418,Лист2!$B:$B,$B418)</f>
        <v>1675</v>
      </c>
      <c r="G418" s="10">
        <f>SUMIFS(Лист2!$E:$E,Лист2!$A:$A,$A418,Лист2!$B:$B,$B418)</f>
        <v>1475</v>
      </c>
      <c r="H418" s="10">
        <f t="shared" si="12"/>
        <v>128501.05263157895</v>
      </c>
      <c r="I418" s="43">
        <f t="shared" si="13"/>
        <v>20</v>
      </c>
      <c r="J418" s="30">
        <v>417</v>
      </c>
      <c r="K418" s="30" t="s">
        <v>56</v>
      </c>
    </row>
    <row r="419" spans="1:11" ht="14.25" customHeight="1" x14ac:dyDescent="0.35">
      <c r="A419" s="11">
        <v>43966</v>
      </c>
      <c r="B419" s="4" t="s">
        <v>13</v>
      </c>
      <c r="C419" s="12">
        <v>32854.5</v>
      </c>
      <c r="D419" s="12">
        <v>2949078</v>
      </c>
      <c r="E419" s="12">
        <f>SUMIFS(Лист2!$C:$C,Лист2!$A:$A,$A419,Лист2!$B:$B,$B419)</f>
        <v>19</v>
      </c>
      <c r="F419" s="12">
        <f>SUMIFS(Лист2!$D:$D,Лист2!$A:$A,$A419,Лист2!$B:$B,$B419)</f>
        <v>1940</v>
      </c>
      <c r="G419" s="12">
        <f>SUMIFS(Лист2!$E:$E,Лист2!$A:$A,$A419,Лист2!$B:$B,$B419)</f>
        <v>1715</v>
      </c>
      <c r="H419" s="12">
        <f t="shared" si="12"/>
        <v>155214.63157894736</v>
      </c>
      <c r="I419" s="44">
        <f t="shared" si="13"/>
        <v>20</v>
      </c>
      <c r="J419" s="31">
        <v>418</v>
      </c>
      <c r="K419" s="31" t="s">
        <v>56</v>
      </c>
    </row>
    <row r="420" spans="1:11" ht="14.25" customHeight="1" x14ac:dyDescent="0.35">
      <c r="A420" s="9">
        <v>43980</v>
      </c>
      <c r="B420" s="2" t="s">
        <v>13</v>
      </c>
      <c r="C420" s="10">
        <v>35346</v>
      </c>
      <c r="D420" s="10">
        <v>3258054</v>
      </c>
      <c r="E420" s="10">
        <f>SUMIFS(Лист2!$C:$C,Лист2!$A:$A,$A420,Лист2!$B:$B,$B420)</f>
        <v>20</v>
      </c>
      <c r="F420" s="10">
        <f>SUMIFS(Лист2!$D:$D,Лист2!$A:$A,$A420,Лист2!$B:$B,$B420)</f>
        <v>2249</v>
      </c>
      <c r="G420" s="10">
        <f>SUMIFS(Лист2!$E:$E,Лист2!$A:$A,$A420,Лист2!$B:$B,$B420)</f>
        <v>2000</v>
      </c>
      <c r="H420" s="10">
        <f t="shared" si="12"/>
        <v>162902.70000000001</v>
      </c>
      <c r="I420" s="43">
        <f t="shared" si="13"/>
        <v>22</v>
      </c>
      <c r="J420" s="30">
        <v>419</v>
      </c>
      <c r="K420" s="30" t="s">
        <v>58</v>
      </c>
    </row>
    <row r="421" spans="1:11" ht="14.25" customHeight="1" x14ac:dyDescent="0.35">
      <c r="A421" s="11">
        <v>43978</v>
      </c>
      <c r="B421" s="4" t="s">
        <v>14</v>
      </c>
      <c r="C421" s="12">
        <v>286558.5</v>
      </c>
      <c r="D421" s="12">
        <v>29256993</v>
      </c>
      <c r="E421" s="12">
        <f>SUMIFS(Лист2!$C:$C,Лист2!$A:$A,$A421,Лист2!$B:$B,$B421)</f>
        <v>129</v>
      </c>
      <c r="F421" s="12">
        <f>SUMIFS(Лист2!$D:$D,Лист2!$A:$A,$A421,Лист2!$B:$B,$B421)</f>
        <v>17115</v>
      </c>
      <c r="G421" s="12">
        <f>SUMIFS(Лист2!$E:$E,Лист2!$A:$A,$A421,Лист2!$B:$B,$B421)</f>
        <v>15962</v>
      </c>
      <c r="H421" s="12">
        <f t="shared" si="12"/>
        <v>226798.39534883722</v>
      </c>
      <c r="I421" s="44">
        <f t="shared" si="13"/>
        <v>22</v>
      </c>
      <c r="J421" s="31">
        <v>420</v>
      </c>
      <c r="K421" s="31" t="s">
        <v>58</v>
      </c>
    </row>
    <row r="422" spans="1:11" ht="14.25" customHeight="1" x14ac:dyDescent="0.35">
      <c r="A422" s="9">
        <v>43973</v>
      </c>
      <c r="B422" s="2" t="s">
        <v>14</v>
      </c>
      <c r="C422" s="10">
        <v>304092</v>
      </c>
      <c r="D422" s="10">
        <v>29465769</v>
      </c>
      <c r="E422" s="10">
        <f>SUMIFS(Лист2!$C:$C,Лист2!$A:$A,$A422,Лист2!$B:$B,$B422)</f>
        <v>129</v>
      </c>
      <c r="F422" s="10">
        <f>SUMIFS(Лист2!$D:$D,Лист2!$A:$A,$A422,Лист2!$B:$B,$B422)</f>
        <v>17088</v>
      </c>
      <c r="G422" s="10">
        <f>SUMIFS(Лист2!$E:$E,Лист2!$A:$A,$A422,Лист2!$B:$B,$B422)</f>
        <v>15804</v>
      </c>
      <c r="H422" s="10">
        <f t="shared" si="12"/>
        <v>228416.81395348837</v>
      </c>
      <c r="I422" s="43">
        <f t="shared" si="13"/>
        <v>21</v>
      </c>
      <c r="J422" s="30">
        <v>421</v>
      </c>
      <c r="K422" s="30" t="s">
        <v>57</v>
      </c>
    </row>
    <row r="423" spans="1:11" ht="14.25" customHeight="1" x14ac:dyDescent="0.35">
      <c r="A423" s="11">
        <v>43983</v>
      </c>
      <c r="B423" s="4" t="s">
        <v>14</v>
      </c>
      <c r="C423" s="12">
        <v>272926.5</v>
      </c>
      <c r="D423" s="12">
        <v>27770092.5</v>
      </c>
      <c r="E423" s="12">
        <f>SUMIFS(Лист2!$C:$C,Лист2!$A:$A,$A423,Лист2!$B:$B,$B423)</f>
        <v>128</v>
      </c>
      <c r="F423" s="12">
        <f>SUMIFS(Лист2!$D:$D,Лист2!$A:$A,$A423,Лист2!$B:$B,$B423)</f>
        <v>16285</v>
      </c>
      <c r="G423" s="12">
        <f>SUMIFS(Лист2!$E:$E,Лист2!$A:$A,$A423,Лист2!$B:$B,$B423)</f>
        <v>15130</v>
      </c>
      <c r="H423" s="12">
        <f t="shared" si="12"/>
        <v>216953.84765625</v>
      </c>
      <c r="I423" s="44">
        <f t="shared" si="13"/>
        <v>23</v>
      </c>
      <c r="J423" s="31">
        <v>422</v>
      </c>
      <c r="K423" s="31" t="s">
        <v>59</v>
      </c>
    </row>
    <row r="424" spans="1:11" ht="14.25" customHeight="1" x14ac:dyDescent="0.35">
      <c r="A424" s="9">
        <v>43962</v>
      </c>
      <c r="B424" s="2" t="s">
        <v>14</v>
      </c>
      <c r="C424" s="10">
        <v>237099</v>
      </c>
      <c r="D424" s="10">
        <v>24628233.223949999</v>
      </c>
      <c r="E424" s="10">
        <f>SUMIFS(Лист2!$C:$C,Лист2!$A:$A,$A424,Лист2!$B:$B,$B424)</f>
        <v>129</v>
      </c>
      <c r="F424" s="10">
        <f>SUMIFS(Лист2!$D:$D,Лист2!$A:$A,$A424,Лист2!$B:$B,$B424)</f>
        <v>14043</v>
      </c>
      <c r="G424" s="10">
        <f>SUMIFS(Лист2!$E:$E,Лист2!$A:$A,$A424,Лист2!$B:$B,$B424)</f>
        <v>13167</v>
      </c>
      <c r="H424" s="10">
        <f t="shared" si="12"/>
        <v>190916.53661976743</v>
      </c>
      <c r="I424" s="43">
        <f t="shared" si="13"/>
        <v>20</v>
      </c>
      <c r="J424" s="30">
        <v>423</v>
      </c>
      <c r="K424" s="30" t="s">
        <v>56</v>
      </c>
    </row>
    <row r="425" spans="1:11" ht="14.25" customHeight="1" x14ac:dyDescent="0.35">
      <c r="A425" s="11">
        <v>43969</v>
      </c>
      <c r="B425" s="4" t="s">
        <v>14</v>
      </c>
      <c r="C425" s="12">
        <v>273900</v>
      </c>
      <c r="D425" s="12">
        <v>27535284.147599999</v>
      </c>
      <c r="E425" s="12">
        <f>SUMIFS(Лист2!$C:$C,Лист2!$A:$A,$A425,Лист2!$B:$B,$B425)</f>
        <v>129</v>
      </c>
      <c r="F425" s="12">
        <f>SUMIFS(Лист2!$D:$D,Лист2!$A:$A,$A425,Лист2!$B:$B,$B425)</f>
        <v>16110</v>
      </c>
      <c r="G425" s="12">
        <f>SUMIFS(Лист2!$E:$E,Лист2!$A:$A,$A425,Лист2!$B:$B,$B425)</f>
        <v>14992</v>
      </c>
      <c r="H425" s="12">
        <f t="shared" si="12"/>
        <v>213451.81509767441</v>
      </c>
      <c r="I425" s="44">
        <f t="shared" si="13"/>
        <v>21</v>
      </c>
      <c r="J425" s="31">
        <v>424</v>
      </c>
      <c r="K425" s="31" t="s">
        <v>57</v>
      </c>
    </row>
    <row r="426" spans="1:11" ht="14.25" customHeight="1" x14ac:dyDescent="0.35">
      <c r="A426" s="9">
        <v>43965</v>
      </c>
      <c r="B426" s="2" t="s">
        <v>14</v>
      </c>
      <c r="C426" s="10">
        <v>274059</v>
      </c>
      <c r="D426" s="10">
        <v>28181292</v>
      </c>
      <c r="E426" s="10">
        <f>SUMIFS(Лист2!$C:$C,Лист2!$A:$A,$A426,Лист2!$B:$B,$B426)</f>
        <v>129</v>
      </c>
      <c r="F426" s="10">
        <f>SUMIFS(Лист2!$D:$D,Лист2!$A:$A,$A426,Лист2!$B:$B,$B426)</f>
        <v>15804</v>
      </c>
      <c r="G426" s="10">
        <f>SUMIFS(Лист2!$E:$E,Лист2!$A:$A,$A426,Лист2!$B:$B,$B426)</f>
        <v>14738</v>
      </c>
      <c r="H426" s="10">
        <f t="shared" si="12"/>
        <v>218459.62790697673</v>
      </c>
      <c r="I426" s="43">
        <f t="shared" si="13"/>
        <v>20</v>
      </c>
      <c r="J426" s="30">
        <v>425</v>
      </c>
      <c r="K426" s="30" t="s">
        <v>56</v>
      </c>
    </row>
    <row r="427" spans="1:11" ht="14.25" customHeight="1" x14ac:dyDescent="0.35">
      <c r="A427" s="11">
        <v>43966</v>
      </c>
      <c r="B427" s="4" t="s">
        <v>14</v>
      </c>
      <c r="C427" s="12">
        <v>318816</v>
      </c>
      <c r="D427" s="12">
        <v>32354331</v>
      </c>
      <c r="E427" s="12">
        <f>SUMIFS(Лист2!$C:$C,Лист2!$A:$A,$A427,Лист2!$B:$B,$B427)</f>
        <v>129</v>
      </c>
      <c r="F427" s="12">
        <f>SUMIFS(Лист2!$D:$D,Лист2!$A:$A,$A427,Лист2!$B:$B,$B427)</f>
        <v>17808</v>
      </c>
      <c r="G427" s="12">
        <f>SUMIFS(Лист2!$E:$E,Лист2!$A:$A,$A427,Лист2!$B:$B,$B427)</f>
        <v>16486</v>
      </c>
      <c r="H427" s="12">
        <f t="shared" si="12"/>
        <v>250808.76744186046</v>
      </c>
      <c r="I427" s="44">
        <f t="shared" si="13"/>
        <v>20</v>
      </c>
      <c r="J427" s="31">
        <v>426</v>
      </c>
      <c r="K427" s="31" t="s">
        <v>56</v>
      </c>
    </row>
    <row r="428" spans="1:11" ht="14.25" customHeight="1" x14ac:dyDescent="0.35">
      <c r="A428" s="9">
        <v>43978</v>
      </c>
      <c r="B428" s="2" t="s">
        <v>15</v>
      </c>
      <c r="C428" s="10">
        <v>370012.5</v>
      </c>
      <c r="D428" s="10">
        <v>39034861.5</v>
      </c>
      <c r="E428" s="10">
        <f>SUMIFS(Лист2!$C:$C,Лист2!$A:$A,$A428,Лист2!$B:$B,$B428)</f>
        <v>124</v>
      </c>
      <c r="F428" s="10">
        <f>SUMIFS(Лист2!$D:$D,Лист2!$A:$A,$A428,Лист2!$B:$B,$B428)</f>
        <v>21384</v>
      </c>
      <c r="G428" s="10">
        <f>SUMIFS(Лист2!$E:$E,Лист2!$A:$A,$A428,Лист2!$B:$B,$B428)</f>
        <v>19897</v>
      </c>
      <c r="H428" s="10">
        <f t="shared" si="12"/>
        <v>314797.2701612903</v>
      </c>
      <c r="I428" s="43">
        <f t="shared" si="13"/>
        <v>22</v>
      </c>
      <c r="J428" s="30">
        <v>427</v>
      </c>
      <c r="K428" s="30" t="s">
        <v>58</v>
      </c>
    </row>
    <row r="429" spans="1:11" ht="14.25" customHeight="1" x14ac:dyDescent="0.35">
      <c r="A429" s="11">
        <v>43973</v>
      </c>
      <c r="B429" s="4" t="s">
        <v>15</v>
      </c>
      <c r="C429" s="12">
        <v>393018</v>
      </c>
      <c r="D429" s="12">
        <v>39498373.5</v>
      </c>
      <c r="E429" s="12">
        <f>SUMIFS(Лист2!$C:$C,Лист2!$A:$A,$A429,Лист2!$B:$B,$B429)</f>
        <v>125</v>
      </c>
      <c r="F429" s="12">
        <f>SUMIFS(Лист2!$D:$D,Лист2!$A:$A,$A429,Лист2!$B:$B,$B429)</f>
        <v>21427</v>
      </c>
      <c r="G429" s="12">
        <f>SUMIFS(Лист2!$E:$E,Лист2!$A:$A,$A429,Лист2!$B:$B,$B429)</f>
        <v>19799</v>
      </c>
      <c r="H429" s="12">
        <f t="shared" si="12"/>
        <v>315986.98800000001</v>
      </c>
      <c r="I429" s="44">
        <f t="shared" si="13"/>
        <v>21</v>
      </c>
      <c r="J429" s="31">
        <v>428</v>
      </c>
      <c r="K429" s="31" t="s">
        <v>57</v>
      </c>
    </row>
    <row r="430" spans="1:11" ht="14.25" customHeight="1" x14ac:dyDescent="0.35">
      <c r="A430" s="9">
        <v>43983</v>
      </c>
      <c r="B430" s="2" t="s">
        <v>15</v>
      </c>
      <c r="C430" s="10">
        <v>349699.5</v>
      </c>
      <c r="D430" s="10">
        <v>37257840.18135</v>
      </c>
      <c r="E430" s="10">
        <f>SUMIFS(Лист2!$C:$C,Лист2!$A:$A,$A430,Лист2!$B:$B,$B430)</f>
        <v>123</v>
      </c>
      <c r="F430" s="10">
        <f>SUMIFS(Лист2!$D:$D,Лист2!$A:$A,$A430,Лист2!$B:$B,$B430)</f>
        <v>20325</v>
      </c>
      <c r="G430" s="10">
        <f>SUMIFS(Лист2!$E:$E,Лист2!$A:$A,$A430,Лист2!$B:$B,$B430)</f>
        <v>18935</v>
      </c>
      <c r="H430" s="10">
        <f t="shared" si="12"/>
        <v>302909.26976707316</v>
      </c>
      <c r="I430" s="43">
        <f t="shared" si="13"/>
        <v>23</v>
      </c>
      <c r="J430" s="30">
        <v>429</v>
      </c>
      <c r="K430" s="30" t="s">
        <v>59</v>
      </c>
    </row>
    <row r="431" spans="1:11" ht="14.25" customHeight="1" x14ac:dyDescent="0.35">
      <c r="A431" s="11">
        <v>43962</v>
      </c>
      <c r="B431" s="4" t="s">
        <v>15</v>
      </c>
      <c r="C431" s="12">
        <v>318565.5</v>
      </c>
      <c r="D431" s="12">
        <v>33781581</v>
      </c>
      <c r="E431" s="12">
        <f>SUMIFS(Лист2!$C:$C,Лист2!$A:$A,$A431,Лист2!$B:$B,$B431)</f>
        <v>125</v>
      </c>
      <c r="F431" s="12">
        <f>SUMIFS(Лист2!$D:$D,Лист2!$A:$A,$A431,Лист2!$B:$B,$B431)</f>
        <v>18066</v>
      </c>
      <c r="G431" s="12">
        <f>SUMIFS(Лист2!$E:$E,Лист2!$A:$A,$A431,Лист2!$B:$B,$B431)</f>
        <v>16883</v>
      </c>
      <c r="H431" s="12">
        <f t="shared" si="12"/>
        <v>270252.64799999999</v>
      </c>
      <c r="I431" s="44">
        <f t="shared" si="13"/>
        <v>20</v>
      </c>
      <c r="J431" s="31">
        <v>430</v>
      </c>
      <c r="K431" s="31" t="s">
        <v>56</v>
      </c>
    </row>
    <row r="432" spans="1:11" ht="14.25" customHeight="1" x14ac:dyDescent="0.35">
      <c r="A432" s="9">
        <v>43980</v>
      </c>
      <c r="B432" s="2" t="s">
        <v>14</v>
      </c>
      <c r="C432" s="10">
        <v>422965.5</v>
      </c>
      <c r="D432" s="10">
        <v>41767140.104999997</v>
      </c>
      <c r="E432" s="10">
        <f>SUMIFS(Лист2!$C:$C,Лист2!$A:$A,$A432,Лист2!$B:$B,$B432)</f>
        <v>129</v>
      </c>
      <c r="F432" s="10">
        <f>SUMIFS(Лист2!$D:$D,Лист2!$A:$A,$A432,Лист2!$B:$B,$B432)</f>
        <v>22403</v>
      </c>
      <c r="G432" s="10">
        <f>SUMIFS(Лист2!$E:$E,Лист2!$A:$A,$A432,Лист2!$B:$B,$B432)</f>
        <v>20676</v>
      </c>
      <c r="H432" s="10">
        <f t="shared" si="12"/>
        <v>323776.27988372091</v>
      </c>
      <c r="I432" s="43">
        <f t="shared" si="13"/>
        <v>22</v>
      </c>
      <c r="J432" s="30">
        <v>431</v>
      </c>
      <c r="K432" s="30" t="s">
        <v>58</v>
      </c>
    </row>
    <row r="433" spans="1:11" ht="14.25" customHeight="1" x14ac:dyDescent="0.35">
      <c r="A433" s="11">
        <v>43969</v>
      </c>
      <c r="B433" s="4" t="s">
        <v>15</v>
      </c>
      <c r="C433" s="12">
        <v>355081.5</v>
      </c>
      <c r="D433" s="12">
        <v>36876888</v>
      </c>
      <c r="E433" s="12">
        <f>SUMIFS(Лист2!$C:$C,Лист2!$A:$A,$A433,Лист2!$B:$B,$B433)</f>
        <v>125</v>
      </c>
      <c r="F433" s="12">
        <f>SUMIFS(Лист2!$D:$D,Лист2!$A:$A,$A433,Лист2!$B:$B,$B433)</f>
        <v>20449</v>
      </c>
      <c r="G433" s="12">
        <f>SUMIFS(Лист2!$E:$E,Лист2!$A:$A,$A433,Лист2!$B:$B,$B433)</f>
        <v>19060</v>
      </c>
      <c r="H433" s="12">
        <f t="shared" si="12"/>
        <v>295015.10399999999</v>
      </c>
      <c r="I433" s="44">
        <f t="shared" si="13"/>
        <v>21</v>
      </c>
      <c r="J433" s="31">
        <v>432</v>
      </c>
      <c r="K433" s="31" t="s">
        <v>57</v>
      </c>
    </row>
    <row r="434" spans="1:11" ht="14.25" customHeight="1" x14ac:dyDescent="0.35">
      <c r="A434" s="9">
        <v>43965</v>
      </c>
      <c r="B434" s="2" t="s">
        <v>15</v>
      </c>
      <c r="C434" s="10">
        <v>358387.5</v>
      </c>
      <c r="D434" s="10">
        <v>37963150.5</v>
      </c>
      <c r="E434" s="10">
        <f>SUMIFS(Лист2!$C:$C,Лист2!$A:$A,$A434,Лист2!$B:$B,$B434)</f>
        <v>125</v>
      </c>
      <c r="F434" s="10">
        <f>SUMIFS(Лист2!$D:$D,Лист2!$A:$A,$A434,Лист2!$B:$B,$B434)</f>
        <v>20247</v>
      </c>
      <c r="G434" s="10">
        <f>SUMIFS(Лист2!$E:$E,Лист2!$A:$A,$A434,Лист2!$B:$B,$B434)</f>
        <v>18812</v>
      </c>
      <c r="H434" s="10">
        <f t="shared" si="12"/>
        <v>303705.20400000003</v>
      </c>
      <c r="I434" s="43">
        <f t="shared" si="13"/>
        <v>20</v>
      </c>
      <c r="J434" s="30">
        <v>433</v>
      </c>
      <c r="K434" s="30" t="s">
        <v>56</v>
      </c>
    </row>
    <row r="435" spans="1:11" ht="14.25" customHeight="1" x14ac:dyDescent="0.35">
      <c r="A435" s="11">
        <v>43966</v>
      </c>
      <c r="B435" s="4" t="s">
        <v>15</v>
      </c>
      <c r="C435" s="12">
        <v>403261.5</v>
      </c>
      <c r="D435" s="12">
        <v>42271377</v>
      </c>
      <c r="E435" s="12">
        <f>SUMIFS(Лист2!$C:$C,Лист2!$A:$A,$A435,Лист2!$B:$B,$B435)</f>
        <v>125</v>
      </c>
      <c r="F435" s="12">
        <f>SUMIFS(Лист2!$D:$D,Лист2!$A:$A,$A435,Лист2!$B:$B,$B435)</f>
        <v>21862</v>
      </c>
      <c r="G435" s="12">
        <f>SUMIFS(Лист2!$E:$E,Лист2!$A:$A,$A435,Лист2!$B:$B,$B435)</f>
        <v>20235</v>
      </c>
      <c r="H435" s="12">
        <f t="shared" si="12"/>
        <v>338171.016</v>
      </c>
      <c r="I435" s="44">
        <f t="shared" si="13"/>
        <v>20</v>
      </c>
      <c r="J435" s="31">
        <v>434</v>
      </c>
      <c r="K435" s="31" t="s">
        <v>56</v>
      </c>
    </row>
    <row r="436" spans="1:11" ht="14.25" customHeight="1" x14ac:dyDescent="0.35">
      <c r="A436" s="9">
        <v>43978</v>
      </c>
      <c r="B436" s="2" t="s">
        <v>16</v>
      </c>
      <c r="C436" s="10">
        <v>69010.5</v>
      </c>
      <c r="D436" s="10">
        <v>5985894</v>
      </c>
      <c r="E436" s="10">
        <f>SUMIFS(Лист2!$C:$C,Лист2!$A:$A,$A436,Лист2!$B:$B,$B436)</f>
        <v>36</v>
      </c>
      <c r="F436" s="10">
        <f>SUMIFS(Лист2!$D:$D,Лист2!$A:$A,$A436,Лист2!$B:$B,$B436)</f>
        <v>4951</v>
      </c>
      <c r="G436" s="10">
        <f>SUMIFS(Лист2!$E:$E,Лист2!$A:$A,$A436,Лист2!$B:$B,$B436)</f>
        <v>4584</v>
      </c>
      <c r="H436" s="10">
        <f t="shared" si="12"/>
        <v>166274.83333333334</v>
      </c>
      <c r="I436" s="43">
        <f t="shared" si="13"/>
        <v>22</v>
      </c>
      <c r="J436" s="30">
        <v>435</v>
      </c>
      <c r="K436" s="30" t="s">
        <v>58</v>
      </c>
    </row>
    <row r="437" spans="1:11" ht="14.25" customHeight="1" x14ac:dyDescent="0.35">
      <c r="A437" s="11">
        <v>43973</v>
      </c>
      <c r="B437" s="4" t="s">
        <v>16</v>
      </c>
      <c r="C437" s="12">
        <v>75820.5</v>
      </c>
      <c r="D437" s="12">
        <v>5943489</v>
      </c>
      <c r="E437" s="12">
        <f>SUMIFS(Лист2!$C:$C,Лист2!$A:$A,$A437,Лист2!$B:$B,$B437)</f>
        <v>36</v>
      </c>
      <c r="F437" s="12">
        <f>SUMIFS(Лист2!$D:$D,Лист2!$A:$A,$A437,Лист2!$B:$B,$B437)</f>
        <v>4857</v>
      </c>
      <c r="G437" s="12">
        <f>SUMIFS(Лист2!$E:$E,Лист2!$A:$A,$A437,Лист2!$B:$B,$B437)</f>
        <v>4456</v>
      </c>
      <c r="H437" s="12">
        <f t="shared" si="12"/>
        <v>165096.91666666666</v>
      </c>
      <c r="I437" s="44">
        <f t="shared" si="13"/>
        <v>21</v>
      </c>
      <c r="J437" s="31">
        <v>436</v>
      </c>
      <c r="K437" s="31" t="s">
        <v>57</v>
      </c>
    </row>
    <row r="438" spans="1:11" ht="14.25" customHeight="1" x14ac:dyDescent="0.35">
      <c r="A438" s="9">
        <v>43983</v>
      </c>
      <c r="B438" s="2" t="s">
        <v>16</v>
      </c>
      <c r="C438" s="10">
        <v>64740</v>
      </c>
      <c r="D438" s="10">
        <v>5800290</v>
      </c>
      <c r="E438" s="10">
        <f>SUMIFS(Лист2!$C:$C,Лист2!$A:$A,$A438,Лист2!$B:$B,$B438)</f>
        <v>37</v>
      </c>
      <c r="F438" s="10">
        <f>SUMIFS(Лист2!$D:$D,Лист2!$A:$A,$A438,Лист2!$B:$B,$B438)</f>
        <v>4722</v>
      </c>
      <c r="G438" s="10">
        <f>SUMIFS(Лист2!$E:$E,Лист2!$A:$A,$A438,Лист2!$B:$B,$B438)</f>
        <v>4352</v>
      </c>
      <c r="H438" s="10">
        <f t="shared" si="12"/>
        <v>156764.59459459459</v>
      </c>
      <c r="I438" s="43">
        <f t="shared" si="13"/>
        <v>23</v>
      </c>
      <c r="J438" s="30">
        <v>437</v>
      </c>
      <c r="K438" s="30" t="s">
        <v>59</v>
      </c>
    </row>
    <row r="439" spans="1:11" ht="14.25" customHeight="1" x14ac:dyDescent="0.35">
      <c r="A439" s="11">
        <v>43962</v>
      </c>
      <c r="B439" s="4" t="s">
        <v>16</v>
      </c>
      <c r="C439" s="12">
        <v>59574</v>
      </c>
      <c r="D439" s="12">
        <v>5178169.5</v>
      </c>
      <c r="E439" s="12">
        <f>SUMIFS(Лист2!$C:$C,Лист2!$A:$A,$A439,Лист2!$B:$B,$B439)</f>
        <v>36</v>
      </c>
      <c r="F439" s="12">
        <f>SUMIFS(Лист2!$D:$D,Лист2!$A:$A,$A439,Лист2!$B:$B,$B439)</f>
        <v>4150</v>
      </c>
      <c r="G439" s="12">
        <f>SUMIFS(Лист2!$E:$E,Лист2!$A:$A,$A439,Лист2!$B:$B,$B439)</f>
        <v>3838</v>
      </c>
      <c r="H439" s="12">
        <f t="shared" si="12"/>
        <v>143838.04166666666</v>
      </c>
      <c r="I439" s="44">
        <f t="shared" si="13"/>
        <v>20</v>
      </c>
      <c r="J439" s="31">
        <v>438</v>
      </c>
      <c r="K439" s="31" t="s">
        <v>56</v>
      </c>
    </row>
    <row r="440" spans="1:11" ht="14.25" customHeight="1" x14ac:dyDescent="0.35">
      <c r="A440" s="9">
        <v>43980</v>
      </c>
      <c r="B440" s="2" t="s">
        <v>15</v>
      </c>
      <c r="C440" s="10">
        <v>524481</v>
      </c>
      <c r="D440" s="10">
        <v>54172029</v>
      </c>
      <c r="E440" s="10">
        <f>SUMIFS(Лист2!$C:$C,Лист2!$A:$A,$A440,Лист2!$B:$B,$B440)</f>
        <v>124</v>
      </c>
      <c r="F440" s="10">
        <f>SUMIFS(Лист2!$D:$D,Лист2!$A:$A,$A440,Лист2!$B:$B,$B440)</f>
        <v>25828</v>
      </c>
      <c r="G440" s="10">
        <f>SUMIFS(Лист2!$E:$E,Лист2!$A:$A,$A440,Лист2!$B:$B,$B440)</f>
        <v>23974</v>
      </c>
      <c r="H440" s="10">
        <f t="shared" si="12"/>
        <v>436871.20161290321</v>
      </c>
      <c r="I440" s="43">
        <f t="shared" si="13"/>
        <v>22</v>
      </c>
      <c r="J440" s="30">
        <v>439</v>
      </c>
      <c r="K440" s="30" t="s">
        <v>58</v>
      </c>
    </row>
    <row r="441" spans="1:11" ht="14.25" customHeight="1" x14ac:dyDescent="0.35">
      <c r="A441" s="11">
        <v>43969</v>
      </c>
      <c r="B441" s="4" t="s">
        <v>16</v>
      </c>
      <c r="C441" s="12">
        <v>70278</v>
      </c>
      <c r="D441" s="12">
        <v>5798476.5</v>
      </c>
      <c r="E441" s="12">
        <f>SUMIFS(Лист2!$C:$C,Лист2!$A:$A,$A441,Лист2!$B:$B,$B441)</f>
        <v>36</v>
      </c>
      <c r="F441" s="12">
        <f>SUMIFS(Лист2!$D:$D,Лист2!$A:$A,$A441,Лист2!$B:$B,$B441)</f>
        <v>4885</v>
      </c>
      <c r="G441" s="12">
        <f>SUMIFS(Лист2!$E:$E,Лист2!$A:$A,$A441,Лист2!$B:$B,$B441)</f>
        <v>4502</v>
      </c>
      <c r="H441" s="12">
        <f t="shared" si="12"/>
        <v>161068.79166666666</v>
      </c>
      <c r="I441" s="44">
        <f t="shared" si="13"/>
        <v>21</v>
      </c>
      <c r="J441" s="31">
        <v>440</v>
      </c>
      <c r="K441" s="31" t="s">
        <v>57</v>
      </c>
    </row>
    <row r="442" spans="1:11" ht="14.25" customHeight="1" x14ac:dyDescent="0.35">
      <c r="A442" s="9">
        <v>43965</v>
      </c>
      <c r="B442" s="2" t="s">
        <v>16</v>
      </c>
      <c r="C442" s="10">
        <v>63645</v>
      </c>
      <c r="D442" s="10">
        <v>5366602.5</v>
      </c>
      <c r="E442" s="10">
        <f>SUMIFS(Лист2!$C:$C,Лист2!$A:$A,$A442,Лист2!$B:$B,$B442)</f>
        <v>36</v>
      </c>
      <c r="F442" s="10">
        <f>SUMIFS(Лист2!$D:$D,Лист2!$A:$A,$A442,Лист2!$B:$B,$B442)</f>
        <v>4285</v>
      </c>
      <c r="G442" s="10">
        <f>SUMIFS(Лист2!$E:$E,Лист2!$A:$A,$A442,Лист2!$B:$B,$B442)</f>
        <v>3950</v>
      </c>
      <c r="H442" s="10">
        <f t="shared" si="12"/>
        <v>149072.29166666666</v>
      </c>
      <c r="I442" s="43">
        <f t="shared" si="13"/>
        <v>20</v>
      </c>
      <c r="J442" s="30">
        <v>441</v>
      </c>
      <c r="K442" s="30" t="s">
        <v>56</v>
      </c>
    </row>
    <row r="443" spans="1:11" ht="14.25" customHeight="1" x14ac:dyDescent="0.35">
      <c r="A443" s="11">
        <v>43966</v>
      </c>
      <c r="B443" s="4" t="s">
        <v>16</v>
      </c>
      <c r="C443" s="12">
        <v>75642</v>
      </c>
      <c r="D443" s="12">
        <v>6293952</v>
      </c>
      <c r="E443" s="12">
        <f>SUMIFS(Лист2!$C:$C,Лист2!$A:$A,$A443,Лист2!$B:$B,$B443)</f>
        <v>36</v>
      </c>
      <c r="F443" s="12">
        <f>SUMIFS(Лист2!$D:$D,Лист2!$A:$A,$A443,Лист2!$B:$B,$B443)</f>
        <v>4862</v>
      </c>
      <c r="G443" s="12">
        <f>SUMIFS(Лист2!$E:$E,Лист2!$A:$A,$A443,Лист2!$B:$B,$B443)</f>
        <v>4476</v>
      </c>
      <c r="H443" s="12">
        <f t="shared" si="12"/>
        <v>174832</v>
      </c>
      <c r="I443" s="44">
        <f t="shared" si="13"/>
        <v>20</v>
      </c>
      <c r="J443" s="31">
        <v>442</v>
      </c>
      <c r="K443" s="31" t="s">
        <v>56</v>
      </c>
    </row>
    <row r="444" spans="1:11" ht="14.25" customHeight="1" x14ac:dyDescent="0.35">
      <c r="A444" s="9">
        <v>43978</v>
      </c>
      <c r="B444" s="2" t="s">
        <v>17</v>
      </c>
      <c r="C444" s="10">
        <v>40420.5</v>
      </c>
      <c r="D444" s="10">
        <v>3780852</v>
      </c>
      <c r="E444" s="10">
        <f>SUMIFS(Лист2!$C:$C,Лист2!$A:$A,$A444,Лист2!$B:$B,$B444)</f>
        <v>21</v>
      </c>
      <c r="F444" s="10">
        <f>SUMIFS(Лист2!$D:$D,Лист2!$A:$A,$A444,Лист2!$B:$B,$B444)</f>
        <v>2430</v>
      </c>
      <c r="G444" s="10">
        <f>SUMIFS(Лист2!$E:$E,Лист2!$A:$A,$A444,Лист2!$B:$B,$B444)</f>
        <v>2216</v>
      </c>
      <c r="H444" s="10">
        <f t="shared" si="12"/>
        <v>180040.57142857142</v>
      </c>
      <c r="I444" s="43">
        <f t="shared" si="13"/>
        <v>22</v>
      </c>
      <c r="J444" s="30">
        <v>443</v>
      </c>
      <c r="K444" s="30" t="s">
        <v>58</v>
      </c>
    </row>
    <row r="445" spans="1:11" ht="14.25" customHeight="1" x14ac:dyDescent="0.35">
      <c r="A445" s="11">
        <v>43973</v>
      </c>
      <c r="B445" s="4" t="s">
        <v>17</v>
      </c>
      <c r="C445" s="12">
        <v>53838</v>
      </c>
      <c r="D445" s="12">
        <v>4840833</v>
      </c>
      <c r="E445" s="12">
        <f>SUMIFS(Лист2!$C:$C,Лист2!$A:$A,$A445,Лист2!$B:$B,$B445)</f>
        <v>21</v>
      </c>
      <c r="F445" s="12">
        <f>SUMIFS(Лист2!$D:$D,Лист2!$A:$A,$A445,Лист2!$B:$B,$B445)</f>
        <v>2861</v>
      </c>
      <c r="G445" s="12">
        <f>SUMIFS(Лист2!$E:$E,Лист2!$A:$A,$A445,Лист2!$B:$B,$B445)</f>
        <v>2612</v>
      </c>
      <c r="H445" s="12">
        <f t="shared" si="12"/>
        <v>230515.85714285713</v>
      </c>
      <c r="I445" s="44">
        <f t="shared" si="13"/>
        <v>21</v>
      </c>
      <c r="J445" s="31">
        <v>444</v>
      </c>
      <c r="K445" s="31" t="s">
        <v>57</v>
      </c>
    </row>
    <row r="446" spans="1:11" ht="14.25" customHeight="1" x14ac:dyDescent="0.35">
      <c r="A446" s="9">
        <v>43983</v>
      </c>
      <c r="B446" s="2" t="s">
        <v>17</v>
      </c>
      <c r="C446" s="10">
        <v>40528.5</v>
      </c>
      <c r="D446" s="10">
        <v>3865251</v>
      </c>
      <c r="E446" s="10">
        <f>SUMIFS(Лист2!$C:$C,Лист2!$A:$A,$A446,Лист2!$B:$B,$B446)</f>
        <v>23</v>
      </c>
      <c r="F446" s="10">
        <f>SUMIFS(Лист2!$D:$D,Лист2!$A:$A,$A446,Лист2!$B:$B,$B446)</f>
        <v>2531</v>
      </c>
      <c r="G446" s="10">
        <f>SUMIFS(Лист2!$E:$E,Лист2!$A:$A,$A446,Лист2!$B:$B,$B446)</f>
        <v>2296</v>
      </c>
      <c r="H446" s="10">
        <f t="shared" si="12"/>
        <v>168054.39130434784</v>
      </c>
      <c r="I446" s="43">
        <f t="shared" si="13"/>
        <v>23</v>
      </c>
      <c r="J446" s="30">
        <v>445</v>
      </c>
      <c r="K446" s="30" t="s">
        <v>59</v>
      </c>
    </row>
    <row r="447" spans="1:11" ht="14.25" customHeight="1" x14ac:dyDescent="0.35">
      <c r="A447" s="11">
        <v>43962</v>
      </c>
      <c r="B447" s="4" t="s">
        <v>17</v>
      </c>
      <c r="C447" s="12">
        <v>32733</v>
      </c>
      <c r="D447" s="12">
        <v>3079630.5</v>
      </c>
      <c r="E447" s="12">
        <f>SUMIFS(Лист2!$C:$C,Лист2!$A:$A,$A447,Лист2!$B:$B,$B447)</f>
        <v>21</v>
      </c>
      <c r="F447" s="12">
        <f>SUMIFS(Лист2!$D:$D,Лист2!$A:$A,$A447,Лист2!$B:$B,$B447)</f>
        <v>1916</v>
      </c>
      <c r="G447" s="12">
        <f>SUMIFS(Лист2!$E:$E,Лист2!$A:$A,$A447,Лист2!$B:$B,$B447)</f>
        <v>1733</v>
      </c>
      <c r="H447" s="12">
        <f t="shared" si="12"/>
        <v>146649.07142857142</v>
      </c>
      <c r="I447" s="44">
        <f t="shared" si="13"/>
        <v>20</v>
      </c>
      <c r="J447" s="31">
        <v>446</v>
      </c>
      <c r="K447" s="31" t="s">
        <v>56</v>
      </c>
    </row>
    <row r="448" spans="1:11" ht="14.25" customHeight="1" x14ac:dyDescent="0.35">
      <c r="A448" s="9">
        <v>43980</v>
      </c>
      <c r="B448" s="2" t="s">
        <v>16</v>
      </c>
      <c r="C448" s="10">
        <v>84433.5</v>
      </c>
      <c r="D448" s="10">
        <v>7228395</v>
      </c>
      <c r="E448" s="10">
        <f>SUMIFS(Лист2!$C:$C,Лист2!$A:$A,$A448,Лист2!$B:$B,$B448)</f>
        <v>37</v>
      </c>
      <c r="F448" s="10">
        <f>SUMIFS(Лист2!$D:$D,Лист2!$A:$A,$A448,Лист2!$B:$B,$B448)</f>
        <v>5672</v>
      </c>
      <c r="G448" s="10">
        <f>SUMIFS(Лист2!$E:$E,Лист2!$A:$A,$A448,Лист2!$B:$B,$B448)</f>
        <v>5198</v>
      </c>
      <c r="H448" s="10">
        <f t="shared" si="12"/>
        <v>195362.02702702704</v>
      </c>
      <c r="I448" s="43">
        <f t="shared" si="13"/>
        <v>22</v>
      </c>
      <c r="J448" s="30">
        <v>447</v>
      </c>
      <c r="K448" s="30" t="s">
        <v>58</v>
      </c>
    </row>
    <row r="449" spans="1:11" ht="14.25" customHeight="1" x14ac:dyDescent="0.35">
      <c r="A449" s="11">
        <v>43969</v>
      </c>
      <c r="B449" s="4" t="s">
        <v>17</v>
      </c>
      <c r="C449" s="12">
        <v>36655.5</v>
      </c>
      <c r="D449" s="12">
        <v>3360135</v>
      </c>
      <c r="E449" s="12">
        <f>SUMIFS(Лист2!$C:$C,Лист2!$A:$A,$A449,Лист2!$B:$B,$B449)</f>
        <v>21</v>
      </c>
      <c r="F449" s="12">
        <f>SUMIFS(Лист2!$D:$D,Лист2!$A:$A,$A449,Лист2!$B:$B,$B449)</f>
        <v>2136</v>
      </c>
      <c r="G449" s="12">
        <f>SUMIFS(Лист2!$E:$E,Лист2!$A:$A,$A449,Лист2!$B:$B,$B449)</f>
        <v>1947</v>
      </c>
      <c r="H449" s="12">
        <f t="shared" si="12"/>
        <v>160006.42857142858</v>
      </c>
      <c r="I449" s="44">
        <f t="shared" si="13"/>
        <v>21</v>
      </c>
      <c r="J449" s="31">
        <v>448</v>
      </c>
      <c r="K449" s="31" t="s">
        <v>57</v>
      </c>
    </row>
    <row r="450" spans="1:11" ht="14.25" customHeight="1" x14ac:dyDescent="0.35">
      <c r="A450" s="9">
        <v>43965</v>
      </c>
      <c r="B450" s="2" t="s">
        <v>17</v>
      </c>
      <c r="C450" s="10">
        <v>33886.5</v>
      </c>
      <c r="D450" s="10">
        <v>3166479</v>
      </c>
      <c r="E450" s="10">
        <f>SUMIFS(Лист2!$C:$C,Лист2!$A:$A,$A450,Лист2!$B:$B,$B450)</f>
        <v>21</v>
      </c>
      <c r="F450" s="10">
        <f>SUMIFS(Лист2!$D:$D,Лист2!$A:$A,$A450,Лист2!$B:$B,$B450)</f>
        <v>1993</v>
      </c>
      <c r="G450" s="10">
        <f>SUMIFS(Лист2!$E:$E,Лист2!$A:$A,$A450,Лист2!$B:$B,$B450)</f>
        <v>1796</v>
      </c>
      <c r="H450" s="10">
        <f t="shared" ref="H450:H505" si="14">IFERROR($D450/$E450,0)</f>
        <v>150784.71428571429</v>
      </c>
      <c r="I450" s="43">
        <f t="shared" ref="I450:I505" si="15">WEEKNUM($A450,21)</f>
        <v>20</v>
      </c>
      <c r="J450" s="30">
        <v>449</v>
      </c>
      <c r="K450" s="30" t="s">
        <v>56</v>
      </c>
    </row>
    <row r="451" spans="1:11" ht="14.25" customHeight="1" x14ac:dyDescent="0.35">
      <c r="A451" s="11">
        <v>43966</v>
      </c>
      <c r="B451" s="4" t="s">
        <v>17</v>
      </c>
      <c r="C451" s="12">
        <v>41697</v>
      </c>
      <c r="D451" s="12">
        <v>3772258.5</v>
      </c>
      <c r="E451" s="12">
        <f>SUMIFS(Лист2!$C:$C,Лист2!$A:$A,$A451,Лист2!$B:$B,$B451)</f>
        <v>21</v>
      </c>
      <c r="F451" s="12">
        <f>SUMIFS(Лист2!$D:$D,Лист2!$A:$A,$A451,Лист2!$B:$B,$B451)</f>
        <v>2255</v>
      </c>
      <c r="G451" s="12">
        <f>SUMIFS(Лист2!$E:$E,Лист2!$A:$A,$A451,Лист2!$B:$B,$B451)</f>
        <v>2045</v>
      </c>
      <c r="H451" s="12">
        <f t="shared" si="14"/>
        <v>179631.35714285713</v>
      </c>
      <c r="I451" s="44">
        <f t="shared" si="15"/>
        <v>20</v>
      </c>
      <c r="J451" s="31">
        <v>450</v>
      </c>
      <c r="K451" s="31" t="s">
        <v>56</v>
      </c>
    </row>
    <row r="452" spans="1:11" ht="14.25" customHeight="1" x14ac:dyDescent="0.35">
      <c r="A452" s="9">
        <v>43980</v>
      </c>
      <c r="B452" s="2" t="s">
        <v>17</v>
      </c>
      <c r="C452" s="10">
        <v>44569.5</v>
      </c>
      <c r="D452" s="10">
        <v>4108596</v>
      </c>
      <c r="E452" s="10">
        <f>SUMIFS(Лист2!$C:$C,Лист2!$A:$A,$A452,Лист2!$B:$B,$B452)</f>
        <v>22</v>
      </c>
      <c r="F452" s="10">
        <f>SUMIFS(Лист2!$D:$D,Лист2!$A:$A,$A452,Лист2!$B:$B,$B452)</f>
        <v>2597</v>
      </c>
      <c r="G452" s="10">
        <f>SUMIFS(Лист2!$E:$E,Лист2!$A:$A,$A452,Лист2!$B:$B,$B452)</f>
        <v>2379</v>
      </c>
      <c r="H452" s="10">
        <f t="shared" si="14"/>
        <v>186754.36363636365</v>
      </c>
      <c r="I452" s="43">
        <f t="shared" si="15"/>
        <v>22</v>
      </c>
      <c r="J452" s="30">
        <v>451</v>
      </c>
      <c r="K452" s="30" t="s">
        <v>58</v>
      </c>
    </row>
    <row r="453" spans="1:11" ht="14.25" customHeight="1" x14ac:dyDescent="0.35">
      <c r="A453" s="11">
        <v>43978</v>
      </c>
      <c r="B453" s="4" t="s">
        <v>18</v>
      </c>
      <c r="C453" s="12">
        <v>18069</v>
      </c>
      <c r="D453" s="12">
        <v>1603084.5</v>
      </c>
      <c r="E453" s="12">
        <f>SUMIFS(Лист2!$C:$C,Лист2!$A:$A,$A453,Лист2!$B:$B,$B453)</f>
        <v>17</v>
      </c>
      <c r="F453" s="12">
        <f>SUMIFS(Лист2!$D:$D,Лист2!$A:$A,$A453,Лист2!$B:$B,$B453)</f>
        <v>1203</v>
      </c>
      <c r="G453" s="12">
        <f>SUMIFS(Лист2!$E:$E,Лист2!$A:$A,$A453,Лист2!$B:$B,$B453)</f>
        <v>1077</v>
      </c>
      <c r="H453" s="12">
        <f t="shared" si="14"/>
        <v>94299.088235294112</v>
      </c>
      <c r="I453" s="44">
        <f t="shared" si="15"/>
        <v>22</v>
      </c>
      <c r="J453" s="31">
        <v>452</v>
      </c>
      <c r="K453" s="31" t="s">
        <v>58</v>
      </c>
    </row>
    <row r="454" spans="1:11" ht="14.25" customHeight="1" x14ac:dyDescent="0.35">
      <c r="A454" s="9">
        <v>43973</v>
      </c>
      <c r="B454" s="2" t="s">
        <v>18</v>
      </c>
      <c r="C454" s="10">
        <v>21483</v>
      </c>
      <c r="D454" s="10">
        <v>1774329</v>
      </c>
      <c r="E454" s="10">
        <f>SUMIFS(Лист2!$C:$C,Лист2!$A:$A,$A454,Лист2!$B:$B,$B454)</f>
        <v>17</v>
      </c>
      <c r="F454" s="10">
        <f>SUMIFS(Лист2!$D:$D,Лист2!$A:$A,$A454,Лист2!$B:$B,$B454)</f>
        <v>1268</v>
      </c>
      <c r="G454" s="10">
        <f>SUMIFS(Лист2!$E:$E,Лист2!$A:$A,$A454,Лист2!$B:$B,$B454)</f>
        <v>1129</v>
      </c>
      <c r="H454" s="10">
        <f t="shared" si="14"/>
        <v>104372.29411764706</v>
      </c>
      <c r="I454" s="43">
        <f t="shared" si="15"/>
        <v>21</v>
      </c>
      <c r="J454" s="30">
        <v>453</v>
      </c>
      <c r="K454" s="30" t="s">
        <v>57</v>
      </c>
    </row>
    <row r="455" spans="1:11" ht="14.25" customHeight="1" x14ac:dyDescent="0.35">
      <c r="A455" s="11">
        <v>43983</v>
      </c>
      <c r="B455" s="4" t="s">
        <v>18</v>
      </c>
      <c r="C455" s="12">
        <v>16687.5</v>
      </c>
      <c r="D455" s="12">
        <v>1526608.5</v>
      </c>
      <c r="E455" s="12">
        <f>SUMIFS(Лист2!$C:$C,Лист2!$A:$A,$A455,Лист2!$B:$B,$B455)</f>
        <v>17</v>
      </c>
      <c r="F455" s="12">
        <f>SUMIFS(Лист2!$D:$D,Лист2!$A:$A,$A455,Лист2!$B:$B,$B455)</f>
        <v>1185</v>
      </c>
      <c r="G455" s="12">
        <f>SUMIFS(Лист2!$E:$E,Лист2!$A:$A,$A455,Лист2!$B:$B,$B455)</f>
        <v>1042</v>
      </c>
      <c r="H455" s="12">
        <f t="shared" si="14"/>
        <v>89800.5</v>
      </c>
      <c r="I455" s="44">
        <f t="shared" si="15"/>
        <v>23</v>
      </c>
      <c r="J455" s="31">
        <v>454</v>
      </c>
      <c r="K455" s="31" t="s">
        <v>59</v>
      </c>
    </row>
    <row r="456" spans="1:11" ht="14.25" customHeight="1" x14ac:dyDescent="0.35">
      <c r="A456" s="9">
        <v>43962</v>
      </c>
      <c r="B456" s="2" t="s">
        <v>18</v>
      </c>
      <c r="C456" s="10">
        <v>12238.5</v>
      </c>
      <c r="D456" s="10">
        <v>1096002</v>
      </c>
      <c r="E456" s="10">
        <f>SUMIFS(Лист2!$C:$C,Лист2!$A:$A,$A456,Лист2!$B:$B,$B456)</f>
        <v>15</v>
      </c>
      <c r="F456" s="10">
        <f>SUMIFS(Лист2!$D:$D,Лист2!$A:$A,$A456,Лист2!$B:$B,$B456)</f>
        <v>812</v>
      </c>
      <c r="G456" s="10">
        <f>SUMIFS(Лист2!$E:$E,Лист2!$A:$A,$A456,Лист2!$B:$B,$B456)</f>
        <v>714</v>
      </c>
      <c r="H456" s="10">
        <f t="shared" si="14"/>
        <v>73066.8</v>
      </c>
      <c r="I456" s="43">
        <f t="shared" si="15"/>
        <v>20</v>
      </c>
      <c r="J456" s="30">
        <v>455</v>
      </c>
      <c r="K456" s="30" t="s">
        <v>56</v>
      </c>
    </row>
    <row r="457" spans="1:11" ht="14.25" customHeight="1" x14ac:dyDescent="0.35">
      <c r="A457" s="11">
        <v>43969</v>
      </c>
      <c r="B457" s="4" t="s">
        <v>18</v>
      </c>
      <c r="C457" s="12">
        <v>14290.5</v>
      </c>
      <c r="D457" s="12">
        <v>1246162.5</v>
      </c>
      <c r="E457" s="12">
        <f>SUMIFS(Лист2!$C:$C,Лист2!$A:$A,$A457,Лист2!$B:$B,$B457)</f>
        <v>16</v>
      </c>
      <c r="F457" s="12">
        <f>SUMIFS(Лист2!$D:$D,Лист2!$A:$A,$A457,Лист2!$B:$B,$B457)</f>
        <v>925</v>
      </c>
      <c r="G457" s="12">
        <f>SUMIFS(Лист2!$E:$E,Лист2!$A:$A,$A457,Лист2!$B:$B,$B457)</f>
        <v>816</v>
      </c>
      <c r="H457" s="12">
        <f t="shared" si="14"/>
        <v>77885.15625</v>
      </c>
      <c r="I457" s="44">
        <f t="shared" si="15"/>
        <v>21</v>
      </c>
      <c r="J457" s="31">
        <v>456</v>
      </c>
      <c r="K457" s="31" t="s">
        <v>57</v>
      </c>
    </row>
    <row r="458" spans="1:11" ht="14.25" customHeight="1" x14ac:dyDescent="0.35">
      <c r="A458" s="9">
        <v>43965</v>
      </c>
      <c r="B458" s="2" t="s">
        <v>18</v>
      </c>
      <c r="C458" s="10">
        <v>14385</v>
      </c>
      <c r="D458" s="10">
        <v>1223491.5</v>
      </c>
      <c r="E458" s="10">
        <f>SUMIFS(Лист2!$C:$C,Лист2!$A:$A,$A458,Лист2!$B:$B,$B458)</f>
        <v>15</v>
      </c>
      <c r="F458" s="10">
        <f>SUMIFS(Лист2!$D:$D,Лист2!$A:$A,$A458,Лист2!$B:$B,$B458)</f>
        <v>890</v>
      </c>
      <c r="G458" s="10">
        <f>SUMIFS(Лист2!$E:$E,Лист2!$A:$A,$A458,Лист2!$B:$B,$B458)</f>
        <v>777</v>
      </c>
      <c r="H458" s="10">
        <f t="shared" si="14"/>
        <v>81566.100000000006</v>
      </c>
      <c r="I458" s="43">
        <f t="shared" si="15"/>
        <v>20</v>
      </c>
      <c r="J458" s="30">
        <v>457</v>
      </c>
      <c r="K458" s="30" t="s">
        <v>56</v>
      </c>
    </row>
    <row r="459" spans="1:11" ht="14.25" customHeight="1" x14ac:dyDescent="0.35">
      <c r="A459" s="11">
        <v>43966</v>
      </c>
      <c r="B459" s="4" t="s">
        <v>18</v>
      </c>
      <c r="C459" s="12">
        <v>16498.5</v>
      </c>
      <c r="D459" s="12">
        <v>1370482.5</v>
      </c>
      <c r="E459" s="12">
        <f>SUMIFS(Лист2!$C:$C,Лист2!$A:$A,$A459,Лист2!$B:$B,$B459)</f>
        <v>15</v>
      </c>
      <c r="F459" s="12">
        <f>SUMIFS(Лист2!$D:$D,Лист2!$A:$A,$A459,Лист2!$B:$B,$B459)</f>
        <v>980</v>
      </c>
      <c r="G459" s="12">
        <f>SUMIFS(Лист2!$E:$E,Лист2!$A:$A,$A459,Лист2!$B:$B,$B459)</f>
        <v>867</v>
      </c>
      <c r="H459" s="12">
        <f t="shared" si="14"/>
        <v>91365.5</v>
      </c>
      <c r="I459" s="44">
        <f t="shared" si="15"/>
        <v>20</v>
      </c>
      <c r="J459" s="31">
        <v>458</v>
      </c>
      <c r="K459" s="31" t="s">
        <v>56</v>
      </c>
    </row>
    <row r="460" spans="1:11" ht="14.25" customHeight="1" x14ac:dyDescent="0.35">
      <c r="A460" s="9">
        <v>43978</v>
      </c>
      <c r="B460" s="2" t="s">
        <v>19</v>
      </c>
      <c r="C460" s="10">
        <v>13203</v>
      </c>
      <c r="D460" s="10">
        <v>1211457</v>
      </c>
      <c r="E460" s="10">
        <f>SUMIFS(Лист2!$C:$C,Лист2!$A:$A,$A460,Лист2!$B:$B,$B460)</f>
        <v>15</v>
      </c>
      <c r="F460" s="10">
        <f>SUMIFS(Лист2!$D:$D,Лист2!$A:$A,$A460,Лист2!$B:$B,$B460)</f>
        <v>809</v>
      </c>
      <c r="G460" s="10">
        <f>SUMIFS(Лист2!$E:$E,Лист2!$A:$A,$A460,Лист2!$B:$B,$B460)</f>
        <v>702</v>
      </c>
      <c r="H460" s="10">
        <f t="shared" si="14"/>
        <v>80763.8</v>
      </c>
      <c r="I460" s="43">
        <f t="shared" si="15"/>
        <v>22</v>
      </c>
      <c r="J460" s="30">
        <v>459</v>
      </c>
      <c r="K460" s="30" t="s">
        <v>58</v>
      </c>
    </row>
    <row r="461" spans="1:11" ht="14.25" customHeight="1" x14ac:dyDescent="0.35">
      <c r="A461" s="11">
        <v>43973</v>
      </c>
      <c r="B461" s="4" t="s">
        <v>19</v>
      </c>
      <c r="C461" s="12">
        <v>15802.5</v>
      </c>
      <c r="D461" s="12">
        <v>1411909.5</v>
      </c>
      <c r="E461" s="12">
        <f>SUMIFS(Лист2!$C:$C,Лист2!$A:$A,$A461,Лист2!$B:$B,$B461)</f>
        <v>15</v>
      </c>
      <c r="F461" s="12">
        <f>SUMIFS(Лист2!$D:$D,Лист2!$A:$A,$A461,Лист2!$B:$B,$B461)</f>
        <v>903</v>
      </c>
      <c r="G461" s="12">
        <f>SUMIFS(Лист2!$E:$E,Лист2!$A:$A,$A461,Лист2!$B:$B,$B461)</f>
        <v>792</v>
      </c>
      <c r="H461" s="12">
        <f t="shared" si="14"/>
        <v>94127.3</v>
      </c>
      <c r="I461" s="44">
        <f t="shared" si="15"/>
        <v>21</v>
      </c>
      <c r="J461" s="31">
        <v>460</v>
      </c>
      <c r="K461" s="31" t="s">
        <v>57</v>
      </c>
    </row>
    <row r="462" spans="1:11" ht="14.25" customHeight="1" x14ac:dyDescent="0.35">
      <c r="A462" s="9">
        <v>43983</v>
      </c>
      <c r="B462" s="2" t="s">
        <v>19</v>
      </c>
      <c r="C462" s="10">
        <v>16476</v>
      </c>
      <c r="D462" s="10">
        <v>1565632.5</v>
      </c>
      <c r="E462" s="10">
        <f>SUMIFS(Лист2!$C:$C,Лист2!$A:$A,$A462,Лист2!$B:$B,$B462)</f>
        <v>16</v>
      </c>
      <c r="F462" s="10">
        <f>SUMIFS(Лист2!$D:$D,Лист2!$A:$A,$A462,Лист2!$B:$B,$B462)</f>
        <v>1019</v>
      </c>
      <c r="G462" s="10">
        <f>SUMIFS(Лист2!$E:$E,Лист2!$A:$A,$A462,Лист2!$B:$B,$B462)</f>
        <v>895</v>
      </c>
      <c r="H462" s="10">
        <f t="shared" si="14"/>
        <v>97852.03125</v>
      </c>
      <c r="I462" s="43">
        <f t="shared" si="15"/>
        <v>23</v>
      </c>
      <c r="J462" s="30">
        <v>461</v>
      </c>
      <c r="K462" s="30" t="s">
        <v>59</v>
      </c>
    </row>
    <row r="463" spans="1:11" ht="14.25" customHeight="1" x14ac:dyDescent="0.35">
      <c r="A463" s="11">
        <v>43962</v>
      </c>
      <c r="B463" s="4" t="s">
        <v>19</v>
      </c>
      <c r="C463" s="12">
        <v>12654</v>
      </c>
      <c r="D463" s="12">
        <v>1081158</v>
      </c>
      <c r="E463" s="12">
        <f>SUMIFS(Лист2!$C:$C,Лист2!$A:$A,$A463,Лист2!$B:$B,$B463)</f>
        <v>15</v>
      </c>
      <c r="F463" s="12">
        <f>SUMIFS(Лист2!$D:$D,Лист2!$A:$A,$A463,Лист2!$B:$B,$B463)</f>
        <v>684</v>
      </c>
      <c r="G463" s="12">
        <f>SUMIFS(Лист2!$E:$E,Лист2!$A:$A,$A463,Лист2!$B:$B,$B463)</f>
        <v>585</v>
      </c>
      <c r="H463" s="12">
        <f t="shared" si="14"/>
        <v>72077.2</v>
      </c>
      <c r="I463" s="44">
        <f t="shared" si="15"/>
        <v>20</v>
      </c>
      <c r="J463" s="31">
        <v>462</v>
      </c>
      <c r="K463" s="31" t="s">
        <v>56</v>
      </c>
    </row>
    <row r="464" spans="1:11" ht="14.25" customHeight="1" x14ac:dyDescent="0.35">
      <c r="A464" s="9">
        <v>43980</v>
      </c>
      <c r="B464" s="2" t="s">
        <v>18</v>
      </c>
      <c r="C464" s="10">
        <v>19647</v>
      </c>
      <c r="D464" s="10">
        <v>1764669</v>
      </c>
      <c r="E464" s="10">
        <f>SUMIFS(Лист2!$C:$C,Лист2!$A:$A,$A464,Лист2!$B:$B,$B464)</f>
        <v>17</v>
      </c>
      <c r="F464" s="10">
        <f>SUMIFS(Лист2!$D:$D,Лист2!$A:$A,$A464,Лист2!$B:$B,$B464)</f>
        <v>1296</v>
      </c>
      <c r="G464" s="10">
        <f>SUMIFS(Лист2!$E:$E,Лист2!$A:$A,$A464,Лист2!$B:$B,$B464)</f>
        <v>1153</v>
      </c>
      <c r="H464" s="10">
        <f t="shared" si="14"/>
        <v>103804.05882352941</v>
      </c>
      <c r="I464" s="43">
        <f t="shared" si="15"/>
        <v>22</v>
      </c>
      <c r="J464" s="30">
        <v>463</v>
      </c>
      <c r="K464" s="30" t="s">
        <v>58</v>
      </c>
    </row>
    <row r="465" spans="1:11" ht="14.25" customHeight="1" x14ac:dyDescent="0.35">
      <c r="A465" s="11">
        <v>43969</v>
      </c>
      <c r="B465" s="4" t="s">
        <v>19</v>
      </c>
      <c r="C465" s="12">
        <v>12450</v>
      </c>
      <c r="D465" s="12">
        <v>1115146.5</v>
      </c>
      <c r="E465" s="12">
        <f>SUMIFS(Лист2!$C:$C,Лист2!$A:$A,$A465,Лист2!$B:$B,$B465)</f>
        <v>15</v>
      </c>
      <c r="F465" s="12">
        <f>SUMIFS(Лист2!$D:$D,Лист2!$A:$A,$A465,Лист2!$B:$B,$B465)</f>
        <v>729</v>
      </c>
      <c r="G465" s="12">
        <f>SUMIFS(Лист2!$E:$E,Лист2!$A:$A,$A465,Лист2!$B:$B,$B465)</f>
        <v>636</v>
      </c>
      <c r="H465" s="12">
        <f t="shared" si="14"/>
        <v>74343.100000000006</v>
      </c>
      <c r="I465" s="44">
        <f t="shared" si="15"/>
        <v>21</v>
      </c>
      <c r="J465" s="31">
        <v>464</v>
      </c>
      <c r="K465" s="31" t="s">
        <v>57</v>
      </c>
    </row>
    <row r="466" spans="1:11" ht="14.25" customHeight="1" x14ac:dyDescent="0.35">
      <c r="A466" s="9">
        <v>43965</v>
      </c>
      <c r="B466" s="2" t="s">
        <v>19</v>
      </c>
      <c r="C466" s="10">
        <v>11161.5</v>
      </c>
      <c r="D466" s="10">
        <v>963502.5</v>
      </c>
      <c r="E466" s="10">
        <f>SUMIFS(Лист2!$C:$C,Лист2!$A:$A,$A466,Лист2!$B:$B,$B466)</f>
        <v>15</v>
      </c>
      <c r="F466" s="10">
        <f>SUMIFS(Лист2!$D:$D,Лист2!$A:$A,$A466,Лист2!$B:$B,$B466)</f>
        <v>638</v>
      </c>
      <c r="G466" s="10">
        <f>SUMIFS(Лист2!$E:$E,Лист2!$A:$A,$A466,Лист2!$B:$B,$B466)</f>
        <v>548</v>
      </c>
      <c r="H466" s="10">
        <f t="shared" si="14"/>
        <v>64233.5</v>
      </c>
      <c r="I466" s="43">
        <f t="shared" si="15"/>
        <v>20</v>
      </c>
      <c r="J466" s="30">
        <v>465</v>
      </c>
      <c r="K466" s="30" t="s">
        <v>56</v>
      </c>
    </row>
    <row r="467" spans="1:11" ht="14.25" customHeight="1" x14ac:dyDescent="0.35">
      <c r="A467" s="11">
        <v>43966</v>
      </c>
      <c r="B467" s="4" t="s">
        <v>19</v>
      </c>
      <c r="C467" s="12">
        <v>12229.5</v>
      </c>
      <c r="D467" s="12">
        <v>1122730.5</v>
      </c>
      <c r="E467" s="12">
        <f>SUMIFS(Лист2!$C:$C,Лист2!$A:$A,$A467,Лист2!$B:$B,$B467)</f>
        <v>15</v>
      </c>
      <c r="F467" s="12">
        <f>SUMIFS(Лист2!$D:$D,Лист2!$A:$A,$A467,Лист2!$B:$B,$B467)</f>
        <v>688</v>
      </c>
      <c r="G467" s="12">
        <f>SUMIFS(Лист2!$E:$E,Лист2!$A:$A,$A467,Лист2!$B:$B,$B467)</f>
        <v>598</v>
      </c>
      <c r="H467" s="12">
        <f t="shared" si="14"/>
        <v>74848.7</v>
      </c>
      <c r="I467" s="44">
        <f t="shared" si="15"/>
        <v>20</v>
      </c>
      <c r="J467" s="31">
        <v>466</v>
      </c>
      <c r="K467" s="31" t="s">
        <v>56</v>
      </c>
    </row>
    <row r="468" spans="1:11" ht="14.25" customHeight="1" x14ac:dyDescent="0.35">
      <c r="A468" s="9">
        <v>43978</v>
      </c>
      <c r="B468" s="2" t="s">
        <v>20</v>
      </c>
      <c r="C468" s="10">
        <v>28050</v>
      </c>
      <c r="D468" s="10">
        <v>2458555.5</v>
      </c>
      <c r="E468" s="10">
        <f>SUMIFS(Лист2!$C:$C,Лист2!$A:$A,$A468,Лист2!$B:$B,$B468)</f>
        <v>20</v>
      </c>
      <c r="F468" s="10">
        <f>SUMIFS(Лист2!$D:$D,Лист2!$A:$A,$A468,Лист2!$B:$B,$B468)</f>
        <v>1873</v>
      </c>
      <c r="G468" s="10">
        <f>SUMIFS(Лист2!$E:$E,Лист2!$A:$A,$A468,Лист2!$B:$B,$B468)</f>
        <v>1715</v>
      </c>
      <c r="H468" s="10">
        <f t="shared" si="14"/>
        <v>122927.77499999999</v>
      </c>
      <c r="I468" s="43">
        <f t="shared" si="15"/>
        <v>22</v>
      </c>
      <c r="J468" s="30">
        <v>467</v>
      </c>
      <c r="K468" s="30" t="s">
        <v>58</v>
      </c>
    </row>
    <row r="469" spans="1:11" ht="14.25" customHeight="1" x14ac:dyDescent="0.35">
      <c r="A469" s="11">
        <v>43973</v>
      </c>
      <c r="B469" s="4" t="s">
        <v>20</v>
      </c>
      <c r="C469" s="12">
        <v>30781.5</v>
      </c>
      <c r="D469" s="12">
        <v>2540715</v>
      </c>
      <c r="E469" s="12">
        <f>SUMIFS(Лист2!$C:$C,Лист2!$A:$A,$A469,Лист2!$B:$B,$B469)</f>
        <v>19</v>
      </c>
      <c r="F469" s="12">
        <f>SUMIFS(Лист2!$D:$D,Лист2!$A:$A,$A469,Лист2!$B:$B,$B469)</f>
        <v>1859</v>
      </c>
      <c r="G469" s="12">
        <f>SUMIFS(Лист2!$E:$E,Лист2!$A:$A,$A469,Лист2!$B:$B,$B469)</f>
        <v>1697</v>
      </c>
      <c r="H469" s="12">
        <f t="shared" si="14"/>
        <v>133721.84210526315</v>
      </c>
      <c r="I469" s="44">
        <f t="shared" si="15"/>
        <v>21</v>
      </c>
      <c r="J469" s="31">
        <v>468</v>
      </c>
      <c r="K469" s="31" t="s">
        <v>57</v>
      </c>
    </row>
    <row r="470" spans="1:11" ht="14.25" customHeight="1" x14ac:dyDescent="0.35">
      <c r="A470" s="9">
        <v>43983</v>
      </c>
      <c r="B470" s="2" t="s">
        <v>20</v>
      </c>
      <c r="C470" s="10">
        <v>27960</v>
      </c>
      <c r="D470" s="10">
        <v>2538967.5</v>
      </c>
      <c r="E470" s="10">
        <f>SUMIFS(Лист2!$C:$C,Лист2!$A:$A,$A470,Лист2!$B:$B,$B470)</f>
        <v>21</v>
      </c>
      <c r="F470" s="10">
        <f>SUMIFS(Лист2!$D:$D,Лист2!$A:$A,$A470,Лист2!$B:$B,$B470)</f>
        <v>1879</v>
      </c>
      <c r="G470" s="10">
        <f>SUMIFS(Лист2!$E:$E,Лист2!$A:$A,$A470,Лист2!$B:$B,$B470)</f>
        <v>1720</v>
      </c>
      <c r="H470" s="10">
        <f t="shared" si="14"/>
        <v>120903.21428571429</v>
      </c>
      <c r="I470" s="43">
        <f t="shared" si="15"/>
        <v>23</v>
      </c>
      <c r="J470" s="30">
        <v>469</v>
      </c>
      <c r="K470" s="30" t="s">
        <v>59</v>
      </c>
    </row>
    <row r="471" spans="1:11" ht="14.25" customHeight="1" x14ac:dyDescent="0.35">
      <c r="A471" s="11">
        <v>43962</v>
      </c>
      <c r="B471" s="4" t="s">
        <v>20</v>
      </c>
      <c r="C471" s="12">
        <v>23629.5</v>
      </c>
      <c r="D471" s="12">
        <v>2164365</v>
      </c>
      <c r="E471" s="12">
        <f>SUMIFS(Лист2!$C:$C,Лист2!$A:$A,$A471,Лист2!$B:$B,$B471)</f>
        <v>19</v>
      </c>
      <c r="F471" s="12">
        <f>SUMIFS(Лист2!$D:$D,Лист2!$A:$A,$A471,Лист2!$B:$B,$B471)</f>
        <v>1527</v>
      </c>
      <c r="G471" s="12">
        <f>SUMIFS(Лист2!$E:$E,Лист2!$A:$A,$A471,Лист2!$B:$B,$B471)</f>
        <v>1389</v>
      </c>
      <c r="H471" s="12">
        <f t="shared" si="14"/>
        <v>113913.94736842105</v>
      </c>
      <c r="I471" s="44">
        <f t="shared" si="15"/>
        <v>20</v>
      </c>
      <c r="J471" s="31">
        <v>470</v>
      </c>
      <c r="K471" s="31" t="s">
        <v>56</v>
      </c>
    </row>
    <row r="472" spans="1:11" ht="14.25" customHeight="1" x14ac:dyDescent="0.35">
      <c r="A472" s="9">
        <v>43980</v>
      </c>
      <c r="B472" s="2" t="s">
        <v>19</v>
      </c>
      <c r="C472" s="10">
        <v>17052</v>
      </c>
      <c r="D472" s="10">
        <v>1549020</v>
      </c>
      <c r="E472" s="10">
        <f>SUMIFS(Лист2!$C:$C,Лист2!$A:$A,$A472,Лист2!$B:$B,$B472)</f>
        <v>16</v>
      </c>
      <c r="F472" s="10">
        <f>SUMIFS(Лист2!$D:$D,Лист2!$A:$A,$A472,Лист2!$B:$B,$B472)</f>
        <v>981</v>
      </c>
      <c r="G472" s="10">
        <f>SUMIFS(Лист2!$E:$E,Лист2!$A:$A,$A472,Лист2!$B:$B,$B472)</f>
        <v>859</v>
      </c>
      <c r="H472" s="10">
        <f t="shared" si="14"/>
        <v>96813.75</v>
      </c>
      <c r="I472" s="43">
        <f t="shared" si="15"/>
        <v>22</v>
      </c>
      <c r="J472" s="30">
        <v>471</v>
      </c>
      <c r="K472" s="30" t="s">
        <v>58</v>
      </c>
    </row>
    <row r="473" spans="1:11" ht="14.25" customHeight="1" x14ac:dyDescent="0.35">
      <c r="A473" s="11">
        <v>43969</v>
      </c>
      <c r="B473" s="4" t="s">
        <v>20</v>
      </c>
      <c r="C473" s="12">
        <v>27181.5</v>
      </c>
      <c r="D473" s="12">
        <v>2324490</v>
      </c>
      <c r="E473" s="12">
        <f>SUMIFS(Лист2!$C:$C,Лист2!$A:$A,$A473,Лист2!$B:$B,$B473)</f>
        <v>19</v>
      </c>
      <c r="F473" s="12">
        <f>SUMIFS(Лист2!$D:$D,Лист2!$A:$A,$A473,Лист2!$B:$B,$B473)</f>
        <v>1741</v>
      </c>
      <c r="G473" s="12">
        <f>SUMIFS(Лист2!$E:$E,Лист2!$A:$A,$A473,Лист2!$B:$B,$B473)</f>
        <v>1597</v>
      </c>
      <c r="H473" s="12">
        <f t="shared" si="14"/>
        <v>122341.57894736843</v>
      </c>
      <c r="I473" s="44">
        <f t="shared" si="15"/>
        <v>21</v>
      </c>
      <c r="J473" s="31">
        <v>472</v>
      </c>
      <c r="K473" s="31" t="s">
        <v>57</v>
      </c>
    </row>
    <row r="474" spans="1:11" ht="14.25" customHeight="1" x14ac:dyDescent="0.35">
      <c r="A474" s="9">
        <v>43965</v>
      </c>
      <c r="B474" s="2" t="s">
        <v>20</v>
      </c>
      <c r="C474" s="10">
        <v>25656</v>
      </c>
      <c r="D474" s="10">
        <v>2225341.5</v>
      </c>
      <c r="E474" s="10">
        <f>SUMIFS(Лист2!$C:$C,Лист2!$A:$A,$A474,Лист2!$B:$B,$B474)</f>
        <v>19</v>
      </c>
      <c r="F474" s="10">
        <f>SUMIFS(Лист2!$D:$D,Лист2!$A:$A,$A474,Лист2!$B:$B,$B474)</f>
        <v>1635</v>
      </c>
      <c r="G474" s="10">
        <f>SUMIFS(Лист2!$E:$E,Лист2!$A:$A,$A474,Лист2!$B:$B,$B474)</f>
        <v>1487</v>
      </c>
      <c r="H474" s="10">
        <f t="shared" si="14"/>
        <v>117123.23684210527</v>
      </c>
      <c r="I474" s="43">
        <f t="shared" si="15"/>
        <v>20</v>
      </c>
      <c r="J474" s="30">
        <v>473</v>
      </c>
      <c r="K474" s="30" t="s">
        <v>56</v>
      </c>
    </row>
    <row r="475" spans="1:11" ht="14.25" customHeight="1" x14ac:dyDescent="0.35">
      <c r="A475" s="11">
        <v>43966</v>
      </c>
      <c r="B475" s="4" t="s">
        <v>20</v>
      </c>
      <c r="C475" s="12">
        <v>29283</v>
      </c>
      <c r="D475" s="12">
        <v>2477487</v>
      </c>
      <c r="E475" s="12">
        <f>SUMIFS(Лист2!$C:$C,Лист2!$A:$A,$A475,Лист2!$B:$B,$B475)</f>
        <v>19</v>
      </c>
      <c r="F475" s="12">
        <f>SUMIFS(Лист2!$D:$D,Лист2!$A:$A,$A475,Лист2!$B:$B,$B475)</f>
        <v>1780</v>
      </c>
      <c r="G475" s="12">
        <f>SUMIFS(Лист2!$E:$E,Лист2!$A:$A,$A475,Лист2!$B:$B,$B475)</f>
        <v>1615</v>
      </c>
      <c r="H475" s="12">
        <f t="shared" si="14"/>
        <v>130394.05263157895</v>
      </c>
      <c r="I475" s="44">
        <f t="shared" si="15"/>
        <v>20</v>
      </c>
      <c r="J475" s="31">
        <v>474</v>
      </c>
      <c r="K475" s="31" t="s">
        <v>56</v>
      </c>
    </row>
    <row r="476" spans="1:11" ht="14.25" customHeight="1" x14ac:dyDescent="0.35">
      <c r="A476" s="9">
        <v>43980</v>
      </c>
      <c r="B476" s="2" t="s">
        <v>20</v>
      </c>
      <c r="C476" s="10">
        <v>32782.5</v>
      </c>
      <c r="D476" s="10">
        <v>2854741.5</v>
      </c>
      <c r="E476" s="10">
        <f>SUMIFS(Лист2!$C:$C,Лист2!$A:$A,$A476,Лист2!$B:$B,$B476)</f>
        <v>20</v>
      </c>
      <c r="F476" s="10">
        <f>SUMIFS(Лист2!$D:$D,Лист2!$A:$A,$A476,Лист2!$B:$B,$B476)</f>
        <v>2064</v>
      </c>
      <c r="G476" s="10">
        <f>SUMIFS(Лист2!$E:$E,Лист2!$A:$A,$A476,Лист2!$B:$B,$B476)</f>
        <v>1896</v>
      </c>
      <c r="H476" s="10">
        <f t="shared" si="14"/>
        <v>142737.07500000001</v>
      </c>
      <c r="I476" s="43">
        <f t="shared" si="15"/>
        <v>22</v>
      </c>
      <c r="J476" s="30">
        <v>475</v>
      </c>
      <c r="K476" s="30" t="s">
        <v>58</v>
      </c>
    </row>
    <row r="477" spans="1:11" ht="14.25" customHeight="1" x14ac:dyDescent="0.35">
      <c r="A477" s="11">
        <v>43978</v>
      </c>
      <c r="B477" s="4" t="s">
        <v>21</v>
      </c>
      <c r="C477" s="12">
        <v>215592</v>
      </c>
      <c r="D477" s="12">
        <v>22342300.5</v>
      </c>
      <c r="E477" s="12">
        <f>SUMIFS(Лист2!$C:$C,Лист2!$A:$A,$A477,Лист2!$B:$B,$B477)</f>
        <v>59</v>
      </c>
      <c r="F477" s="12">
        <f>SUMIFS(Лист2!$D:$D,Лист2!$A:$A,$A477,Лист2!$B:$B,$B477)</f>
        <v>13942</v>
      </c>
      <c r="G477" s="12">
        <f>SUMIFS(Лист2!$E:$E,Лист2!$A:$A,$A477,Лист2!$B:$B,$B477)</f>
        <v>12986</v>
      </c>
      <c r="H477" s="12">
        <f t="shared" si="14"/>
        <v>378683.05932203389</v>
      </c>
      <c r="I477" s="44">
        <f t="shared" si="15"/>
        <v>22</v>
      </c>
      <c r="J477" s="31">
        <v>476</v>
      </c>
      <c r="K477" s="31" t="s">
        <v>58</v>
      </c>
    </row>
    <row r="478" spans="1:11" ht="14.25" customHeight="1" x14ac:dyDescent="0.35">
      <c r="A478" s="9">
        <v>43973</v>
      </c>
      <c r="B478" s="2" t="s">
        <v>21</v>
      </c>
      <c r="C478" s="10">
        <v>228334.5</v>
      </c>
      <c r="D478" s="10">
        <v>22380772.5</v>
      </c>
      <c r="E478" s="10">
        <f>SUMIFS(Лист2!$C:$C,Лист2!$A:$A,$A478,Лист2!$B:$B,$B478)</f>
        <v>60</v>
      </c>
      <c r="F478" s="10">
        <f>SUMIFS(Лист2!$D:$D,Лист2!$A:$A,$A478,Лист2!$B:$B,$B478)</f>
        <v>14050</v>
      </c>
      <c r="G478" s="10">
        <f>SUMIFS(Лист2!$E:$E,Лист2!$A:$A,$A478,Лист2!$B:$B,$B478)</f>
        <v>13027</v>
      </c>
      <c r="H478" s="10">
        <f t="shared" si="14"/>
        <v>373012.875</v>
      </c>
      <c r="I478" s="43">
        <f t="shared" si="15"/>
        <v>21</v>
      </c>
      <c r="J478" s="30">
        <v>477</v>
      </c>
      <c r="K478" s="30" t="s">
        <v>57</v>
      </c>
    </row>
    <row r="479" spans="1:11" ht="14.25" customHeight="1" x14ac:dyDescent="0.35">
      <c r="A479" s="11">
        <v>43983</v>
      </c>
      <c r="B479" s="4" t="s">
        <v>21</v>
      </c>
      <c r="C479" s="12">
        <v>188776.5</v>
      </c>
      <c r="D479" s="12">
        <v>19465372.5</v>
      </c>
      <c r="E479" s="12">
        <f>SUMIFS(Лист2!$C:$C,Лист2!$A:$A,$A479,Лист2!$B:$B,$B479)</f>
        <v>59</v>
      </c>
      <c r="F479" s="12">
        <f>SUMIFS(Лист2!$D:$D,Лист2!$A:$A,$A479,Лист2!$B:$B,$B479)</f>
        <v>12299</v>
      </c>
      <c r="G479" s="12">
        <f>SUMIFS(Лист2!$E:$E,Лист2!$A:$A,$A479,Лист2!$B:$B,$B479)</f>
        <v>11448</v>
      </c>
      <c r="H479" s="12">
        <f t="shared" si="14"/>
        <v>329921.56779661018</v>
      </c>
      <c r="I479" s="44">
        <f t="shared" si="15"/>
        <v>23</v>
      </c>
      <c r="J479" s="31">
        <v>478</v>
      </c>
      <c r="K479" s="31" t="s">
        <v>59</v>
      </c>
    </row>
    <row r="480" spans="1:11" ht="14.25" customHeight="1" x14ac:dyDescent="0.35">
      <c r="A480" s="9">
        <v>43962</v>
      </c>
      <c r="B480" s="2" t="s">
        <v>21</v>
      </c>
      <c r="C480" s="10">
        <v>175293</v>
      </c>
      <c r="D480" s="10">
        <v>17919144</v>
      </c>
      <c r="E480" s="10">
        <f>SUMIFS(Лист2!$C:$C,Лист2!$A:$A,$A480,Лист2!$B:$B,$B480)</f>
        <v>60</v>
      </c>
      <c r="F480" s="10">
        <f>SUMIFS(Лист2!$D:$D,Лист2!$A:$A,$A480,Лист2!$B:$B,$B480)</f>
        <v>11100</v>
      </c>
      <c r="G480" s="10">
        <f>SUMIFS(Лист2!$E:$E,Лист2!$A:$A,$A480,Лист2!$B:$B,$B480)</f>
        <v>10407</v>
      </c>
      <c r="H480" s="10">
        <f t="shared" si="14"/>
        <v>298652.40000000002</v>
      </c>
      <c r="I480" s="43">
        <f t="shared" si="15"/>
        <v>20</v>
      </c>
      <c r="J480" s="30">
        <v>479</v>
      </c>
      <c r="K480" s="30" t="s">
        <v>56</v>
      </c>
    </row>
    <row r="481" spans="1:11" ht="14.25" customHeight="1" x14ac:dyDescent="0.35">
      <c r="A481" s="11">
        <v>43969</v>
      </c>
      <c r="B481" s="4" t="s">
        <v>21</v>
      </c>
      <c r="C481" s="12">
        <v>201999</v>
      </c>
      <c r="D481" s="12">
        <v>20422435.5</v>
      </c>
      <c r="E481" s="12">
        <f>SUMIFS(Лист2!$C:$C,Лист2!$A:$A,$A481,Лист2!$B:$B,$B481)</f>
        <v>60</v>
      </c>
      <c r="F481" s="12">
        <f>SUMIFS(Лист2!$D:$D,Лист2!$A:$A,$A481,Лист2!$B:$B,$B481)</f>
        <v>12460</v>
      </c>
      <c r="G481" s="12">
        <f>SUMIFS(Лист2!$E:$E,Лист2!$A:$A,$A481,Лист2!$B:$B,$B481)</f>
        <v>11665</v>
      </c>
      <c r="H481" s="12">
        <f t="shared" si="14"/>
        <v>340373.92499999999</v>
      </c>
      <c r="I481" s="44">
        <f t="shared" si="15"/>
        <v>21</v>
      </c>
      <c r="J481" s="31">
        <v>480</v>
      </c>
      <c r="K481" s="31" t="s">
        <v>57</v>
      </c>
    </row>
    <row r="482" spans="1:11" ht="14.25" customHeight="1" x14ac:dyDescent="0.35">
      <c r="A482" s="9">
        <v>43965</v>
      </c>
      <c r="B482" s="2" t="s">
        <v>21</v>
      </c>
      <c r="C482" s="10">
        <v>197946</v>
      </c>
      <c r="D482" s="10">
        <v>19942435.5</v>
      </c>
      <c r="E482" s="10">
        <f>SUMIFS(Лист2!$C:$C,Лист2!$A:$A,$A482,Лист2!$B:$B,$B482)</f>
        <v>60</v>
      </c>
      <c r="F482" s="10">
        <f>SUMIFS(Лист2!$D:$D,Лист2!$A:$A,$A482,Лист2!$B:$B,$B482)</f>
        <v>11935</v>
      </c>
      <c r="G482" s="10">
        <f>SUMIFS(Лист2!$E:$E,Лист2!$A:$A,$A482,Лист2!$B:$B,$B482)</f>
        <v>11178</v>
      </c>
      <c r="H482" s="10">
        <f t="shared" si="14"/>
        <v>332373.92499999999</v>
      </c>
      <c r="I482" s="43">
        <f t="shared" si="15"/>
        <v>20</v>
      </c>
      <c r="J482" s="30">
        <v>481</v>
      </c>
      <c r="K482" s="30" t="s">
        <v>56</v>
      </c>
    </row>
    <row r="483" spans="1:11" ht="14.25" customHeight="1" x14ac:dyDescent="0.35">
      <c r="A483" s="11">
        <v>43966</v>
      </c>
      <c r="B483" s="4" t="s">
        <v>21</v>
      </c>
      <c r="C483" s="12">
        <v>230896.5</v>
      </c>
      <c r="D483" s="12">
        <v>23085222</v>
      </c>
      <c r="E483" s="12">
        <f>SUMIFS(Лист2!$C:$C,Лист2!$A:$A,$A483,Лист2!$B:$B,$B483)</f>
        <v>60</v>
      </c>
      <c r="F483" s="12">
        <f>SUMIFS(Лист2!$D:$D,Лист2!$A:$A,$A483,Лист2!$B:$B,$B483)</f>
        <v>13544</v>
      </c>
      <c r="G483" s="12">
        <f>SUMIFS(Лист2!$E:$E,Лист2!$A:$A,$A483,Лист2!$B:$B,$B483)</f>
        <v>12643</v>
      </c>
      <c r="H483" s="12">
        <f t="shared" si="14"/>
        <v>384753.7</v>
      </c>
      <c r="I483" s="44">
        <f t="shared" si="15"/>
        <v>20</v>
      </c>
      <c r="J483" s="31">
        <v>482</v>
      </c>
      <c r="K483" s="31" t="s">
        <v>56</v>
      </c>
    </row>
    <row r="484" spans="1:11" ht="14.25" customHeight="1" x14ac:dyDescent="0.35">
      <c r="A484" s="9">
        <v>43978</v>
      </c>
      <c r="B484" s="2" t="s">
        <v>22</v>
      </c>
      <c r="C484" s="10">
        <v>203532</v>
      </c>
      <c r="D484" s="10">
        <v>20953324.5</v>
      </c>
      <c r="E484" s="10">
        <f>SUMIFS(Лист2!$C:$C,Лист2!$A:$A,$A484,Лист2!$B:$B,$B484)</f>
        <v>54</v>
      </c>
      <c r="F484" s="10">
        <f>SUMIFS(Лист2!$D:$D,Лист2!$A:$A,$A484,Лист2!$B:$B,$B484)</f>
        <v>13091</v>
      </c>
      <c r="G484" s="10">
        <f>SUMIFS(Лист2!$E:$E,Лист2!$A:$A,$A484,Лист2!$B:$B,$B484)</f>
        <v>12216</v>
      </c>
      <c r="H484" s="10">
        <f t="shared" si="14"/>
        <v>388024.52777777775</v>
      </c>
      <c r="I484" s="43">
        <f t="shared" si="15"/>
        <v>22</v>
      </c>
      <c r="J484" s="30">
        <v>483</v>
      </c>
      <c r="K484" s="30" t="s">
        <v>58</v>
      </c>
    </row>
    <row r="485" spans="1:11" ht="14.25" customHeight="1" x14ac:dyDescent="0.35">
      <c r="A485" s="11">
        <v>43973</v>
      </c>
      <c r="B485" s="4" t="s">
        <v>22</v>
      </c>
      <c r="C485" s="12">
        <v>214428</v>
      </c>
      <c r="D485" s="12">
        <v>20812585.5</v>
      </c>
      <c r="E485" s="12">
        <f>SUMIFS(Лист2!$C:$C,Лист2!$A:$A,$A485,Лист2!$B:$B,$B485)</f>
        <v>54</v>
      </c>
      <c r="F485" s="12">
        <f>SUMIFS(Лист2!$D:$D,Лист2!$A:$A,$A485,Лист2!$B:$B,$B485)</f>
        <v>13014</v>
      </c>
      <c r="G485" s="12">
        <f>SUMIFS(Лист2!$E:$E,Лист2!$A:$A,$A485,Лист2!$B:$B,$B485)</f>
        <v>12095</v>
      </c>
      <c r="H485" s="12">
        <f t="shared" si="14"/>
        <v>385418.25</v>
      </c>
      <c r="I485" s="44">
        <f t="shared" si="15"/>
        <v>21</v>
      </c>
      <c r="J485" s="31">
        <v>484</v>
      </c>
      <c r="K485" s="31" t="s">
        <v>57</v>
      </c>
    </row>
    <row r="486" spans="1:11" ht="14.25" customHeight="1" x14ac:dyDescent="0.35">
      <c r="A486" s="9">
        <v>43983</v>
      </c>
      <c r="B486" s="2" t="s">
        <v>22</v>
      </c>
      <c r="C486" s="10">
        <v>183228</v>
      </c>
      <c r="D486" s="10">
        <v>18914194.5</v>
      </c>
      <c r="E486" s="10">
        <f>SUMIFS(Лист2!$C:$C,Лист2!$A:$A,$A486,Лист2!$B:$B,$B486)</f>
        <v>54</v>
      </c>
      <c r="F486" s="10">
        <f>SUMIFS(Лист2!$D:$D,Лист2!$A:$A,$A486,Лист2!$B:$B,$B486)</f>
        <v>11864</v>
      </c>
      <c r="G486" s="10">
        <f>SUMIFS(Лист2!$E:$E,Лист2!$A:$A,$A486,Лист2!$B:$B,$B486)</f>
        <v>11071</v>
      </c>
      <c r="H486" s="10">
        <f t="shared" si="14"/>
        <v>350262.86111111112</v>
      </c>
      <c r="I486" s="43">
        <f t="shared" si="15"/>
        <v>23</v>
      </c>
      <c r="J486" s="30">
        <v>485</v>
      </c>
      <c r="K486" s="30" t="s">
        <v>59</v>
      </c>
    </row>
    <row r="487" spans="1:11" ht="14.25" customHeight="1" x14ac:dyDescent="0.35">
      <c r="A487" s="11">
        <v>43962</v>
      </c>
      <c r="B487" s="4" t="s">
        <v>22</v>
      </c>
      <c r="C487" s="12">
        <v>166948.5</v>
      </c>
      <c r="D487" s="12">
        <v>16971231</v>
      </c>
      <c r="E487" s="12">
        <f>SUMIFS(Лист2!$C:$C,Лист2!$A:$A,$A487,Лист2!$B:$B,$B487)</f>
        <v>54</v>
      </c>
      <c r="F487" s="12">
        <f>SUMIFS(Лист2!$D:$D,Лист2!$A:$A,$A487,Лист2!$B:$B,$B487)</f>
        <v>10570</v>
      </c>
      <c r="G487" s="12">
        <f>SUMIFS(Лист2!$E:$E,Лист2!$A:$A,$A487,Лист2!$B:$B,$B487)</f>
        <v>9926</v>
      </c>
      <c r="H487" s="12">
        <f t="shared" si="14"/>
        <v>314282.05555555556</v>
      </c>
      <c r="I487" s="44">
        <f t="shared" si="15"/>
        <v>20</v>
      </c>
      <c r="J487" s="31">
        <v>486</v>
      </c>
      <c r="K487" s="31" t="s">
        <v>56</v>
      </c>
    </row>
    <row r="488" spans="1:11" ht="14.25" customHeight="1" x14ac:dyDescent="0.35">
      <c r="A488" s="9">
        <v>43980</v>
      </c>
      <c r="B488" s="2" t="s">
        <v>21</v>
      </c>
      <c r="C488" s="10">
        <v>232102.5</v>
      </c>
      <c r="D488" s="10">
        <v>23120443.5</v>
      </c>
      <c r="E488" s="10">
        <f>SUMIFS(Лист2!$C:$C,Лист2!$A:$A,$A488,Лист2!$B:$B,$B488)</f>
        <v>59</v>
      </c>
      <c r="F488" s="10">
        <f>SUMIFS(Лист2!$D:$D,Лист2!$A:$A,$A488,Лист2!$B:$B,$B488)</f>
        <v>14507</v>
      </c>
      <c r="G488" s="10">
        <f>SUMIFS(Лист2!$E:$E,Лист2!$A:$A,$A488,Лист2!$B:$B,$B488)</f>
        <v>13386</v>
      </c>
      <c r="H488" s="10">
        <f t="shared" si="14"/>
        <v>391871.92372881353</v>
      </c>
      <c r="I488" s="43">
        <f t="shared" si="15"/>
        <v>22</v>
      </c>
      <c r="J488" s="30">
        <v>487</v>
      </c>
      <c r="K488" s="30" t="s">
        <v>58</v>
      </c>
    </row>
    <row r="489" spans="1:11" ht="14.25" customHeight="1" x14ac:dyDescent="0.35">
      <c r="A489" s="11">
        <v>43969</v>
      </c>
      <c r="B489" s="4" t="s">
        <v>22</v>
      </c>
      <c r="C489" s="12">
        <v>196560</v>
      </c>
      <c r="D489" s="12">
        <v>19855122</v>
      </c>
      <c r="E489" s="12">
        <f>SUMIFS(Лист2!$C:$C,Лист2!$A:$A,$A489,Лист2!$B:$B,$B489)</f>
        <v>54</v>
      </c>
      <c r="F489" s="12">
        <f>SUMIFS(Лист2!$D:$D,Лист2!$A:$A,$A489,Лист2!$B:$B,$B489)</f>
        <v>12012</v>
      </c>
      <c r="G489" s="12">
        <f>SUMIFS(Лист2!$E:$E,Лист2!$A:$A,$A489,Лист2!$B:$B,$B489)</f>
        <v>11308</v>
      </c>
      <c r="H489" s="12">
        <f t="shared" si="14"/>
        <v>367687.44444444444</v>
      </c>
      <c r="I489" s="44">
        <f t="shared" si="15"/>
        <v>21</v>
      </c>
      <c r="J489" s="31">
        <v>488</v>
      </c>
      <c r="K489" s="31" t="s">
        <v>57</v>
      </c>
    </row>
    <row r="490" spans="1:11" ht="14.25" customHeight="1" x14ac:dyDescent="0.35">
      <c r="A490" s="9">
        <v>43965</v>
      </c>
      <c r="B490" s="2" t="s">
        <v>22</v>
      </c>
      <c r="C490" s="10">
        <v>186496.5</v>
      </c>
      <c r="D490" s="10">
        <v>18640998</v>
      </c>
      <c r="E490" s="10">
        <f>SUMIFS(Лист2!$C:$C,Лист2!$A:$A,$A490,Лист2!$B:$B,$B490)</f>
        <v>54</v>
      </c>
      <c r="F490" s="10">
        <f>SUMIFS(Лист2!$D:$D,Лист2!$A:$A,$A490,Лист2!$B:$B,$B490)</f>
        <v>11194</v>
      </c>
      <c r="G490" s="10">
        <f>SUMIFS(Лист2!$E:$E,Лист2!$A:$A,$A490,Лист2!$B:$B,$B490)</f>
        <v>10554</v>
      </c>
      <c r="H490" s="10">
        <f t="shared" si="14"/>
        <v>345203.66666666669</v>
      </c>
      <c r="I490" s="43">
        <f t="shared" si="15"/>
        <v>20</v>
      </c>
      <c r="J490" s="30">
        <v>489</v>
      </c>
      <c r="K490" s="30" t="s">
        <v>56</v>
      </c>
    </row>
    <row r="491" spans="1:11" ht="14.25" customHeight="1" x14ac:dyDescent="0.35">
      <c r="A491" s="11">
        <v>43966</v>
      </c>
      <c r="B491" s="4" t="s">
        <v>22</v>
      </c>
      <c r="C491" s="12">
        <v>219772.5</v>
      </c>
      <c r="D491" s="12">
        <v>21895294.5</v>
      </c>
      <c r="E491" s="12">
        <f>SUMIFS(Лист2!$C:$C,Лист2!$A:$A,$A491,Лист2!$B:$B,$B491)</f>
        <v>54</v>
      </c>
      <c r="F491" s="12">
        <f>SUMIFS(Лист2!$D:$D,Лист2!$A:$A,$A491,Лист2!$B:$B,$B491)</f>
        <v>12791</v>
      </c>
      <c r="G491" s="12">
        <f>SUMIFS(Лист2!$E:$E,Лист2!$A:$A,$A491,Лист2!$B:$B,$B491)</f>
        <v>11950</v>
      </c>
      <c r="H491" s="12">
        <f t="shared" si="14"/>
        <v>405468.41666666669</v>
      </c>
      <c r="I491" s="44">
        <f t="shared" si="15"/>
        <v>20</v>
      </c>
      <c r="J491" s="31">
        <v>490</v>
      </c>
      <c r="K491" s="31" t="s">
        <v>56</v>
      </c>
    </row>
    <row r="492" spans="1:11" ht="14.25" customHeight="1" x14ac:dyDescent="0.35">
      <c r="A492" s="9">
        <v>43980</v>
      </c>
      <c r="B492" s="2" t="s">
        <v>22</v>
      </c>
      <c r="C492" s="10">
        <v>226476</v>
      </c>
      <c r="D492" s="10">
        <v>22416151.5</v>
      </c>
      <c r="E492" s="10">
        <f>SUMIFS(Лист2!$C:$C,Лист2!$A:$A,$A492,Лист2!$B:$B,$B492)</f>
        <v>54</v>
      </c>
      <c r="F492" s="10">
        <f>SUMIFS(Лист2!$D:$D,Лист2!$A:$A,$A492,Лист2!$B:$B,$B492)</f>
        <v>14031</v>
      </c>
      <c r="G492" s="10">
        <f>SUMIFS(Лист2!$E:$E,Лист2!$A:$A,$A492,Лист2!$B:$B,$B492)</f>
        <v>12943</v>
      </c>
      <c r="H492" s="10">
        <f t="shared" si="14"/>
        <v>415113.91666666669</v>
      </c>
      <c r="I492" s="43">
        <f t="shared" si="15"/>
        <v>22</v>
      </c>
      <c r="J492" s="30">
        <v>491</v>
      </c>
      <c r="K492" s="30" t="s">
        <v>58</v>
      </c>
    </row>
    <row r="493" spans="1:11" ht="14.25" customHeight="1" x14ac:dyDescent="0.35">
      <c r="A493" s="11">
        <v>43978</v>
      </c>
      <c r="B493" s="4" t="s">
        <v>24</v>
      </c>
      <c r="C493" s="12">
        <v>8362.5</v>
      </c>
      <c r="D493" s="12">
        <v>687684</v>
      </c>
      <c r="E493" s="12">
        <f>SUMIFS(Лист2!$C:$C,Лист2!$A:$A,$A493,Лист2!$B:$B,$B493)</f>
        <v>7</v>
      </c>
      <c r="F493" s="12">
        <f>SUMIFS(Лист2!$D:$D,Лист2!$A:$A,$A493,Лист2!$B:$B,$B493)</f>
        <v>409</v>
      </c>
      <c r="G493" s="12">
        <f>SUMIFS(Лист2!$E:$E,Лист2!$A:$A,$A493,Лист2!$B:$B,$B493)</f>
        <v>329</v>
      </c>
      <c r="H493" s="12">
        <f t="shared" si="14"/>
        <v>98240.571428571435</v>
      </c>
      <c r="I493" s="44">
        <f t="shared" si="15"/>
        <v>22</v>
      </c>
      <c r="J493" s="31">
        <v>492</v>
      </c>
      <c r="K493" s="31" t="s">
        <v>58</v>
      </c>
    </row>
    <row r="494" spans="1:11" ht="14.25" customHeight="1" x14ac:dyDescent="0.35">
      <c r="A494" s="9">
        <v>43973</v>
      </c>
      <c r="B494" s="2" t="s">
        <v>23</v>
      </c>
      <c r="C494" s="10">
        <v>17008.5</v>
      </c>
      <c r="D494" s="10">
        <v>1398771</v>
      </c>
      <c r="E494" s="10">
        <f>SUMIFS(Лист2!$C:$C,Лист2!$A:$A,$A494,Лист2!$B:$B,$B494)</f>
        <v>18</v>
      </c>
      <c r="F494" s="10">
        <f>SUMIFS(Лист2!$D:$D,Лист2!$A:$A,$A494,Лист2!$B:$B,$B494)</f>
        <v>985</v>
      </c>
      <c r="G494" s="10">
        <f>SUMIFS(Лист2!$E:$E,Лист2!$A:$A,$A494,Лист2!$B:$B,$B494)</f>
        <v>861</v>
      </c>
      <c r="H494" s="10">
        <f t="shared" si="14"/>
        <v>77709.5</v>
      </c>
      <c r="I494" s="43">
        <f t="shared" si="15"/>
        <v>21</v>
      </c>
      <c r="J494" s="30">
        <v>493</v>
      </c>
      <c r="K494" s="30" t="s">
        <v>57</v>
      </c>
    </row>
    <row r="495" spans="1:11" ht="14.25" customHeight="1" x14ac:dyDescent="0.35">
      <c r="A495" s="11">
        <v>43983</v>
      </c>
      <c r="B495" s="4" t="s">
        <v>25</v>
      </c>
      <c r="C495" s="12">
        <v>5166</v>
      </c>
      <c r="D495" s="12">
        <v>389013</v>
      </c>
      <c r="E495" s="12">
        <f>SUMIFS(Лист2!$C:$C,Лист2!$A:$A,$A495,Лист2!$B:$B,$B495)</f>
        <v>9</v>
      </c>
      <c r="F495" s="12">
        <f>SUMIFS(Лист2!$D:$D,Лист2!$A:$A,$A495,Лист2!$B:$B,$B495)</f>
        <v>294</v>
      </c>
      <c r="G495" s="12">
        <f>SUMIFS(Лист2!$E:$E,Лист2!$A:$A,$A495,Лист2!$B:$B,$B495)</f>
        <v>224</v>
      </c>
      <c r="H495" s="12">
        <f t="shared" si="14"/>
        <v>43223.666666666664</v>
      </c>
      <c r="I495" s="44">
        <f t="shared" si="15"/>
        <v>23</v>
      </c>
      <c r="J495" s="31">
        <v>494</v>
      </c>
      <c r="K495" s="31" t="s">
        <v>59</v>
      </c>
    </row>
    <row r="496" spans="1:11" ht="14.25" customHeight="1" x14ac:dyDescent="0.35">
      <c r="A496" s="9">
        <v>43962</v>
      </c>
      <c r="B496" s="2" t="s">
        <v>23</v>
      </c>
      <c r="C496" s="10">
        <v>10941</v>
      </c>
      <c r="D496" s="10">
        <v>880356</v>
      </c>
      <c r="E496" s="10">
        <f>SUMIFS(Лист2!$C:$C,Лист2!$A:$A,$A496,Лист2!$B:$B,$B496)</f>
        <v>15</v>
      </c>
      <c r="F496" s="10">
        <f>SUMIFS(Лист2!$D:$D,Лист2!$A:$A,$A496,Лист2!$B:$B,$B496)</f>
        <v>654</v>
      </c>
      <c r="G496" s="10">
        <f>SUMIFS(Лист2!$E:$E,Лист2!$A:$A,$A496,Лист2!$B:$B,$B496)</f>
        <v>564</v>
      </c>
      <c r="H496" s="10">
        <f t="shared" si="14"/>
        <v>58690.400000000001</v>
      </c>
      <c r="I496" s="43">
        <f t="shared" si="15"/>
        <v>20</v>
      </c>
      <c r="J496" s="30">
        <v>495</v>
      </c>
      <c r="K496" s="30" t="s">
        <v>56</v>
      </c>
    </row>
    <row r="497" spans="1:11" ht="14.25" customHeight="1" x14ac:dyDescent="0.35">
      <c r="A497" s="11">
        <v>43969</v>
      </c>
      <c r="B497" s="4" t="s">
        <v>23</v>
      </c>
      <c r="C497" s="12">
        <v>14497.5</v>
      </c>
      <c r="D497" s="12">
        <v>1230711</v>
      </c>
      <c r="E497" s="12">
        <f>SUMIFS(Лист2!$C:$C,Лист2!$A:$A,$A497,Лист2!$B:$B,$B497)</f>
        <v>16</v>
      </c>
      <c r="F497" s="12">
        <f>SUMIFS(Лист2!$D:$D,Лист2!$A:$A,$A497,Лист2!$B:$B,$B497)</f>
        <v>864</v>
      </c>
      <c r="G497" s="12">
        <f>SUMIFS(Лист2!$E:$E,Лист2!$A:$A,$A497,Лист2!$B:$B,$B497)</f>
        <v>765</v>
      </c>
      <c r="H497" s="12">
        <f t="shared" si="14"/>
        <v>76919.4375</v>
      </c>
      <c r="I497" s="44">
        <f t="shared" si="15"/>
        <v>21</v>
      </c>
      <c r="J497" s="31">
        <v>496</v>
      </c>
      <c r="K497" s="31" t="s">
        <v>57</v>
      </c>
    </row>
    <row r="498" spans="1:11" ht="14.25" customHeight="1" x14ac:dyDescent="0.35">
      <c r="A498" s="9">
        <v>43965</v>
      </c>
      <c r="B498" s="2" t="s">
        <v>23</v>
      </c>
      <c r="C498" s="10">
        <v>13810.5</v>
      </c>
      <c r="D498" s="10">
        <v>1131676.5</v>
      </c>
      <c r="E498" s="10">
        <f>SUMIFS(Лист2!$C:$C,Лист2!$A:$A,$A498,Лист2!$B:$B,$B498)</f>
        <v>16</v>
      </c>
      <c r="F498" s="10">
        <f>SUMIFS(Лист2!$D:$D,Лист2!$A:$A,$A498,Лист2!$B:$B,$B498)</f>
        <v>834</v>
      </c>
      <c r="G498" s="10">
        <f>SUMIFS(Лист2!$E:$E,Лист2!$A:$A,$A498,Лист2!$B:$B,$B498)</f>
        <v>735</v>
      </c>
      <c r="H498" s="10">
        <f t="shared" si="14"/>
        <v>70729.78125</v>
      </c>
      <c r="I498" s="43">
        <f t="shared" si="15"/>
        <v>20</v>
      </c>
      <c r="J498" s="30">
        <v>497</v>
      </c>
      <c r="K498" s="30" t="s">
        <v>56</v>
      </c>
    </row>
    <row r="499" spans="1:11" ht="14.25" customHeight="1" x14ac:dyDescent="0.35">
      <c r="A499" s="11">
        <v>43966</v>
      </c>
      <c r="B499" s="4" t="s">
        <v>23</v>
      </c>
      <c r="C499" s="12">
        <v>13752</v>
      </c>
      <c r="D499" s="12">
        <v>1091040</v>
      </c>
      <c r="E499" s="12">
        <f>SUMIFS(Лист2!$C:$C,Лист2!$A:$A,$A499,Лист2!$B:$B,$B499)</f>
        <v>16</v>
      </c>
      <c r="F499" s="12">
        <f>SUMIFS(Лист2!$D:$D,Лист2!$A:$A,$A499,Лист2!$B:$B,$B499)</f>
        <v>817</v>
      </c>
      <c r="G499" s="12">
        <f>SUMIFS(Лист2!$E:$E,Лист2!$A:$A,$A499,Лист2!$B:$B,$B499)</f>
        <v>718</v>
      </c>
      <c r="H499" s="12">
        <f t="shared" si="14"/>
        <v>68190</v>
      </c>
      <c r="I499" s="44">
        <f t="shared" si="15"/>
        <v>20</v>
      </c>
      <c r="J499" s="31">
        <v>498</v>
      </c>
      <c r="K499" s="31" t="s">
        <v>56</v>
      </c>
    </row>
    <row r="500" spans="1:11" ht="14.25" customHeight="1" x14ac:dyDescent="0.35">
      <c r="A500" s="9">
        <v>43978</v>
      </c>
      <c r="B500" s="2" t="s">
        <v>23</v>
      </c>
      <c r="C500" s="10">
        <v>15276</v>
      </c>
      <c r="D500" s="10">
        <v>1350199.5</v>
      </c>
      <c r="E500" s="10">
        <f>SUMIFS(Лист2!$C:$C,Лист2!$A:$A,$A500,Лист2!$B:$B,$B500)</f>
        <v>18</v>
      </c>
      <c r="F500" s="10">
        <f>SUMIFS(Лист2!$D:$D,Лист2!$A:$A,$A500,Лист2!$B:$B,$B500)</f>
        <v>962</v>
      </c>
      <c r="G500" s="10">
        <f>SUMIFS(Лист2!$E:$E,Лист2!$A:$A,$A500,Лист2!$B:$B,$B500)</f>
        <v>859</v>
      </c>
      <c r="H500" s="10">
        <f t="shared" si="14"/>
        <v>75011.083333333328</v>
      </c>
      <c r="I500" s="43">
        <f t="shared" si="15"/>
        <v>22</v>
      </c>
      <c r="J500" s="30">
        <v>499</v>
      </c>
      <c r="K500" s="30" t="s">
        <v>58</v>
      </c>
    </row>
    <row r="501" spans="1:11" ht="14.25" customHeight="1" x14ac:dyDescent="0.35">
      <c r="A501" s="11">
        <v>43983</v>
      </c>
      <c r="B501" s="4" t="s">
        <v>26</v>
      </c>
      <c r="C501" s="12">
        <v>4408.5</v>
      </c>
      <c r="D501" s="12">
        <v>410892</v>
      </c>
      <c r="E501" s="12">
        <f>SUMIFS(Лист2!$C:$C,Лист2!$A:$A,$A501,Лист2!$B:$B,$B501)</f>
        <v>6</v>
      </c>
      <c r="F501" s="12">
        <f>SUMIFS(Лист2!$D:$D,Лист2!$A:$A,$A501,Лист2!$B:$B,$B501)</f>
        <v>237</v>
      </c>
      <c r="G501" s="12">
        <f>SUMIFS(Лист2!$E:$E,Лист2!$A:$A,$A501,Лист2!$B:$B,$B501)</f>
        <v>175</v>
      </c>
      <c r="H501" s="12">
        <f t="shared" si="14"/>
        <v>68482</v>
      </c>
      <c r="I501" s="44">
        <f t="shared" si="15"/>
        <v>23</v>
      </c>
      <c r="J501" s="31">
        <v>500</v>
      </c>
      <c r="K501" s="31" t="s">
        <v>59</v>
      </c>
    </row>
    <row r="502" spans="1:11" ht="14.25" customHeight="1" x14ac:dyDescent="0.35">
      <c r="A502" s="9">
        <v>43980</v>
      </c>
      <c r="B502" s="2" t="s">
        <v>24</v>
      </c>
      <c r="C502" s="10">
        <v>9927</v>
      </c>
      <c r="D502" s="10">
        <v>850840.5</v>
      </c>
      <c r="E502" s="10">
        <f>SUMIFS(Лист2!$C:$C,Лист2!$A:$A,$A502,Лист2!$B:$B,$B502)</f>
        <v>7</v>
      </c>
      <c r="F502" s="10">
        <f>SUMIFS(Лист2!$D:$D,Лист2!$A:$A,$A502,Лист2!$B:$B,$B502)</f>
        <v>491</v>
      </c>
      <c r="G502" s="10">
        <f>SUMIFS(Лист2!$E:$E,Лист2!$A:$A,$A502,Лист2!$B:$B,$B502)</f>
        <v>411</v>
      </c>
      <c r="H502" s="10">
        <f t="shared" si="14"/>
        <v>121548.64285714286</v>
      </c>
      <c r="I502" s="43">
        <f t="shared" si="15"/>
        <v>22</v>
      </c>
      <c r="J502" s="30">
        <v>501</v>
      </c>
      <c r="K502" s="30" t="s">
        <v>58</v>
      </c>
    </row>
    <row r="503" spans="1:11" ht="14.25" customHeight="1" x14ac:dyDescent="0.35">
      <c r="A503" s="11">
        <v>43983</v>
      </c>
      <c r="B503" s="4" t="s">
        <v>24</v>
      </c>
      <c r="C503" s="12">
        <v>9474</v>
      </c>
      <c r="D503" s="12">
        <v>802447.5</v>
      </c>
      <c r="E503" s="12">
        <f>SUMIFS(Лист2!$C:$C,Лист2!$A:$A,$A503,Лист2!$B:$B,$B503)</f>
        <v>7</v>
      </c>
      <c r="F503" s="12">
        <f>SUMIFS(Лист2!$D:$D,Лист2!$A:$A,$A503,Лист2!$B:$B,$B503)</f>
        <v>500</v>
      </c>
      <c r="G503" s="12">
        <f>SUMIFS(Лист2!$E:$E,Лист2!$A:$A,$A503,Лист2!$B:$B,$B503)</f>
        <v>418</v>
      </c>
      <c r="H503" s="12">
        <f t="shared" si="14"/>
        <v>114635.35714285714</v>
      </c>
      <c r="I503" s="44">
        <f t="shared" si="15"/>
        <v>23</v>
      </c>
      <c r="J503" s="31">
        <v>502</v>
      </c>
      <c r="K503" s="31" t="s">
        <v>59</v>
      </c>
    </row>
    <row r="504" spans="1:11" ht="14.25" customHeight="1" x14ac:dyDescent="0.35">
      <c r="A504" s="9">
        <v>43980</v>
      </c>
      <c r="B504" s="2" t="s">
        <v>23</v>
      </c>
      <c r="C504" s="10">
        <v>16878</v>
      </c>
      <c r="D504" s="10">
        <v>1438255.5</v>
      </c>
      <c r="E504" s="10">
        <f>SUMIFS(Лист2!$C:$C,Лист2!$A:$A,$A504,Лист2!$B:$B,$B504)</f>
        <v>18</v>
      </c>
      <c r="F504" s="10">
        <f>SUMIFS(Лист2!$D:$D,Лист2!$A:$A,$A504,Лист2!$B:$B,$B504)</f>
        <v>1014</v>
      </c>
      <c r="G504" s="10">
        <f>SUMIFS(Лист2!$E:$E,Лист2!$A:$A,$A504,Лист2!$B:$B,$B504)</f>
        <v>893</v>
      </c>
      <c r="H504" s="10">
        <f t="shared" si="14"/>
        <v>79903.083333333328</v>
      </c>
      <c r="I504" s="43">
        <f t="shared" si="15"/>
        <v>22</v>
      </c>
      <c r="J504" s="30">
        <v>503</v>
      </c>
      <c r="K504" s="30" t="s">
        <v>58</v>
      </c>
    </row>
    <row r="505" spans="1:11" ht="14.25" customHeight="1" x14ac:dyDescent="0.35">
      <c r="A505" s="13">
        <v>43983</v>
      </c>
      <c r="B505" s="5" t="s">
        <v>23</v>
      </c>
      <c r="C505" s="14">
        <v>14238</v>
      </c>
      <c r="D505" s="14">
        <v>1293219</v>
      </c>
      <c r="E505" s="14">
        <f>SUMIFS(Лист2!$C:$C,Лист2!$A:$A,$A505,Лист2!$B:$B,$B505)</f>
        <v>18</v>
      </c>
      <c r="F505" s="14">
        <f>SUMIFS(Лист2!$D:$D,Лист2!$A:$A,$A505,Лист2!$B:$B,$B505)</f>
        <v>923</v>
      </c>
      <c r="G505" s="14">
        <f>SUMIFS(Лист2!$E:$E,Лист2!$A:$A,$A505,Лист2!$B:$B,$B505)</f>
        <v>824</v>
      </c>
      <c r="H505" s="14">
        <f t="shared" si="14"/>
        <v>71845.5</v>
      </c>
      <c r="I505" s="45">
        <f t="shared" si="15"/>
        <v>23</v>
      </c>
      <c r="J505" s="31">
        <v>504</v>
      </c>
      <c r="K505" s="31" t="s">
        <v>59</v>
      </c>
    </row>
    <row r="506" spans="1:11" ht="14.25" customHeight="1" x14ac:dyDescent="0.35"/>
    <row r="507" spans="1:11" ht="14.25" customHeight="1" x14ac:dyDescent="0.35"/>
    <row r="508" spans="1:11" ht="14.25" customHeight="1" x14ac:dyDescent="0.35"/>
    <row r="509" spans="1:11" ht="14.25" customHeight="1" x14ac:dyDescent="0.35"/>
    <row r="510" spans="1:11" ht="14.25" customHeight="1" x14ac:dyDescent="0.35"/>
    <row r="511" spans="1:11" ht="14.25" customHeight="1" x14ac:dyDescent="0.35"/>
    <row r="512" spans="1:11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autoFilter ref="A1:K1" xr:uid="{C7FA303F-00E1-4994-A828-8C86219BADBD}">
    <sortState xmlns:xlrd2="http://schemas.microsoft.com/office/spreadsheetml/2017/richdata2" ref="A2:K505">
      <sortCondition ref="J1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/>
    </sheetView>
  </sheetViews>
  <sheetFormatPr defaultColWidth="14.453125" defaultRowHeight="15" customHeight="1" x14ac:dyDescent="0.35"/>
  <cols>
    <col min="1" max="1" width="12" style="6" customWidth="1"/>
    <col min="2" max="2" width="24" style="6" customWidth="1"/>
    <col min="3" max="5" width="12" style="6" customWidth="1"/>
    <col min="6" max="26" width="8.7265625" style="6" customWidth="1"/>
  </cols>
  <sheetData>
    <row r="1" spans="1:5" ht="32" customHeight="1" x14ac:dyDescent="0.35">
      <c r="A1" s="7" t="s">
        <v>0</v>
      </c>
      <c r="B1" s="7" t="s">
        <v>1</v>
      </c>
      <c r="C1" s="7" t="s">
        <v>4</v>
      </c>
      <c r="D1" s="7" t="s">
        <v>5</v>
      </c>
      <c r="E1" s="7" t="s">
        <v>6</v>
      </c>
    </row>
    <row r="2" spans="1:5" ht="14.25" customHeight="1" x14ac:dyDescent="0.35">
      <c r="A2" s="15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5">
      <c r="A3" s="15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5">
      <c r="A4" s="15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5">
      <c r="A5" s="15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5">
      <c r="A6" s="15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5">
      <c r="A7" s="15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5">
      <c r="A8" s="15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5">
      <c r="A9" s="15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5">
      <c r="A10" s="15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5">
      <c r="A11" s="15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5">
      <c r="A12" s="15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5">
      <c r="A13" s="15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5">
      <c r="A14" s="15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5">
      <c r="A15" s="15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5">
      <c r="A16" s="15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5">
      <c r="A17" s="15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5">
      <c r="A18" s="15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5">
      <c r="A19" s="15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5">
      <c r="A20" s="15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5">
      <c r="A21" s="15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5">
      <c r="A22" s="15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5">
      <c r="A23" s="15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5">
      <c r="A24" s="15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5">
      <c r="A25" s="15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5">
      <c r="A26" s="15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5">
      <c r="A27" s="15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5">
      <c r="A28" s="15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5">
      <c r="A29" s="15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5">
      <c r="A30" s="15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5">
      <c r="A31" s="15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5">
      <c r="A32" s="15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5">
      <c r="A33" s="15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5">
      <c r="A34" s="15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5">
      <c r="A35" s="15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5">
      <c r="A36" s="15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5">
      <c r="A37" s="15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5">
      <c r="A38" s="15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5">
      <c r="A39" s="15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5">
      <c r="A40" s="15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5">
      <c r="A41" s="15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5">
      <c r="A42" s="15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5">
      <c r="A43" s="15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5">
      <c r="A44" s="15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5">
      <c r="A45" s="15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5">
      <c r="A46" s="15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5">
      <c r="A47" s="15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5">
      <c r="A48" s="15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5">
      <c r="A49" s="15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5">
      <c r="A50" s="15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5">
      <c r="A51" s="15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5">
      <c r="A52" s="15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5">
      <c r="A53" s="15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5">
      <c r="A54" s="15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5">
      <c r="A55" s="15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5">
      <c r="A56" s="15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5">
      <c r="A57" s="15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5">
      <c r="A58" s="15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5">
      <c r="A59" s="15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5">
      <c r="A60" s="15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5">
      <c r="A61" s="15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5">
      <c r="A62" s="15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5">
      <c r="A63" s="15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5">
      <c r="A64" s="15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5">
      <c r="A65" s="15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5">
      <c r="A66" s="15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5">
      <c r="A67" s="15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5">
      <c r="A68" s="15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5">
      <c r="A69" s="15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5">
      <c r="A70" s="15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5">
      <c r="A71" s="15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5">
      <c r="A72" s="15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5">
      <c r="A73" s="15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5">
      <c r="A74" s="15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5">
      <c r="A75" s="15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5">
      <c r="A76" s="15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5">
      <c r="A77" s="15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5">
      <c r="A78" s="15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5">
      <c r="A79" s="15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5">
      <c r="A80" s="15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5">
      <c r="A81" s="15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5">
      <c r="A82" s="15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5">
      <c r="A83" s="15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5">
      <c r="A84" s="15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5">
      <c r="A85" s="15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5">
      <c r="A86" s="15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5">
      <c r="A87" s="15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5">
      <c r="A88" s="15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5">
      <c r="A89" s="15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5">
      <c r="A90" s="15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5">
      <c r="A91" s="15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5">
      <c r="A92" s="15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5">
      <c r="A93" s="15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5">
      <c r="A94" s="15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5">
      <c r="A95" s="15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5">
      <c r="A96" s="15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5">
      <c r="A97" s="15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5">
      <c r="A98" s="15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5">
      <c r="A99" s="15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5">
      <c r="A100" s="15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5">
      <c r="A101" s="15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5">
      <c r="A102" s="15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5">
      <c r="A103" s="15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5">
      <c r="A104" s="15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5">
      <c r="A105" s="15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5">
      <c r="A106" s="15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5">
      <c r="A107" s="15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5">
      <c r="A108" s="15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5">
      <c r="A109" s="15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5">
      <c r="A110" s="15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5">
      <c r="A111" s="15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5">
      <c r="A112" s="15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5">
      <c r="A113" s="15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5">
      <c r="A114" s="15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5">
      <c r="A115" s="15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5">
      <c r="A116" s="15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5">
      <c r="A117" s="15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5">
      <c r="A118" s="15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5">
      <c r="A119" s="15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5">
      <c r="A120" s="15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5">
      <c r="A121" s="15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5">
      <c r="A122" s="15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5">
      <c r="A123" s="15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5">
      <c r="A124" s="15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5">
      <c r="A125" s="15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5">
      <c r="A126" s="15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5">
      <c r="A127" s="15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5">
      <c r="A128" s="15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5">
      <c r="A129" s="15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5">
      <c r="A130" s="15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5">
      <c r="A131" s="15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5">
      <c r="A132" s="15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5">
      <c r="A133" s="15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5">
      <c r="A134" s="15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5">
      <c r="A135" s="15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5">
      <c r="A136" s="15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5">
      <c r="A137" s="15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5">
      <c r="A138" s="15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5">
      <c r="A139" s="15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5">
      <c r="A140" s="15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5">
      <c r="A141" s="15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5">
      <c r="A142" s="15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5">
      <c r="A143" s="15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5">
      <c r="A144" s="15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5">
      <c r="A145" s="15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5">
      <c r="A146" s="15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5">
      <c r="A147" s="15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5">
      <c r="A148" s="15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5">
      <c r="A149" s="15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5">
      <c r="A150" s="15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5">
      <c r="A151" s="15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5">
      <c r="A152" s="15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5">
      <c r="A153" s="15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5">
      <c r="A154" s="15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5">
      <c r="A155" s="15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5">
      <c r="A156" s="15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5">
      <c r="A157" s="15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5">
      <c r="A158" s="15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5">
      <c r="A159" s="15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5">
      <c r="A160" s="15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5">
      <c r="A161" s="15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5">
      <c r="A162" s="15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5">
      <c r="A163" s="15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5">
      <c r="A164" s="15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5">
      <c r="A165" s="15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5">
      <c r="A166" s="15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5">
      <c r="A167" s="15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5">
      <c r="A168" s="15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5">
      <c r="A169" s="15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5">
      <c r="A170" s="15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5">
      <c r="A171" s="15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5">
      <c r="A172" s="15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5">
      <c r="A173" s="15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5">
      <c r="A174" s="15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5">
      <c r="A175" s="15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5">
      <c r="A176" s="15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5">
      <c r="A177" s="15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5">
      <c r="A178" s="15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5">
      <c r="A179" s="15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5">
      <c r="A180" s="15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5">
      <c r="A181" s="15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5">
      <c r="A182" s="15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5">
      <c r="A183" s="15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5">
      <c r="A184" s="15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5">
      <c r="A185" s="15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5">
      <c r="A186" s="15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5">
      <c r="A187" s="15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5">
      <c r="A188" s="15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5">
      <c r="A189" s="15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5">
      <c r="A190" s="15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5">
      <c r="A191" s="15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5">
      <c r="A192" s="15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5">
      <c r="A193" s="15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5">
      <c r="A194" s="15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5">
      <c r="A195" s="15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5">
      <c r="A196" s="15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5">
      <c r="A197" s="15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5">
      <c r="A198" s="15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5">
      <c r="A199" s="15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5">
      <c r="A200" s="15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5">
      <c r="A201" s="15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5">
      <c r="A202" s="15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5">
      <c r="A203" s="15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5">
      <c r="A204" s="15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5">
      <c r="A205" s="15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5">
      <c r="A206" s="15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5">
      <c r="A207" s="15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5">
      <c r="A208" s="15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5">
      <c r="A209" s="15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5">
      <c r="A210" s="15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5">
      <c r="A211" s="15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5">
      <c r="A212" s="15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5">
      <c r="A213" s="15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5">
      <c r="A214" s="15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5">
      <c r="A215" s="15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5">
      <c r="A216" s="15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5">
      <c r="A217" s="15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5">
      <c r="A218" s="15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5">
      <c r="A219" s="15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5">
      <c r="A220" s="15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5">
      <c r="A221" s="15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5">
      <c r="A222" s="15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5">
      <c r="A223" s="15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5">
      <c r="A224" s="15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5">
      <c r="A225" s="15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5">
      <c r="A226" s="15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5">
      <c r="A227" s="15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5">
      <c r="A228" s="15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5">
      <c r="A229" s="15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5">
      <c r="A230" s="15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5">
      <c r="A231" s="15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5">
      <c r="A232" s="15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5">
      <c r="A233" s="15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5">
      <c r="A234" s="15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5">
      <c r="A235" s="15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5">
      <c r="A236" s="15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5">
      <c r="A237" s="15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5">
      <c r="A238" s="15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5">
      <c r="A239" s="15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5">
      <c r="A240" s="15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5">
      <c r="A241" s="15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5">
      <c r="A242" s="15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5">
      <c r="A243" s="15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5">
      <c r="A244" s="15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5">
      <c r="A245" s="15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5">
      <c r="A246" s="15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5">
      <c r="A247" s="15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5">
      <c r="A248" s="15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5">
      <c r="A249" s="15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5">
      <c r="A250" s="15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5">
      <c r="A251" s="15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5">
      <c r="A252" s="15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5">
      <c r="A253" s="15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5">
      <c r="A254" s="15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5">
      <c r="A255" s="15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5">
      <c r="A256" s="15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5">
      <c r="A257" s="15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5">
      <c r="A258" s="15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5">
      <c r="A259" s="15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5">
      <c r="A260" s="15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5">
      <c r="A261" s="15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5">
      <c r="A262" s="15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5">
      <c r="A263" s="15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5">
      <c r="A264" s="15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5">
      <c r="A265" s="15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5">
      <c r="A266" s="15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5">
      <c r="A267" s="15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5">
      <c r="A268" s="15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5">
      <c r="A269" s="15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5">
      <c r="A270" s="15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5">
      <c r="A271" s="15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5">
      <c r="A272" s="15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5">
      <c r="A273" s="15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5">
      <c r="A274" s="15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5">
      <c r="A275" s="15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5">
      <c r="A276" s="15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5">
      <c r="A277" s="15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5">
      <c r="A278" s="15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5">
      <c r="A279" s="15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5">
      <c r="A280" s="15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5">
      <c r="A281" s="15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5">
      <c r="A282" s="15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5">
      <c r="A283" s="15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5">
      <c r="A284" s="15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5">
      <c r="A285" s="15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5">
      <c r="A286" s="15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5">
      <c r="A287" s="15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5">
      <c r="A288" s="15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5">
      <c r="A289" s="15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5">
      <c r="A290" s="15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5">
      <c r="A291" s="15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5">
      <c r="A292" s="15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5">
      <c r="A293" s="15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5">
      <c r="A294" s="15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5">
      <c r="A295" s="15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5">
      <c r="A296" s="15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5">
      <c r="A297" s="15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5">
      <c r="A298" s="15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5">
      <c r="A299" s="15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5">
      <c r="A300" s="15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5">
      <c r="A301" s="15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5">
      <c r="A302" s="15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5">
      <c r="A303" s="15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5">
      <c r="A304" s="15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5">
      <c r="A305" s="15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5">
      <c r="A306" s="15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5">
      <c r="A307" s="15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5">
      <c r="A308" s="15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5">
      <c r="A309" s="15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5">
      <c r="A310" s="15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5">
      <c r="A311" s="15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5">
      <c r="A312" s="15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5">
      <c r="A313" s="15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5">
      <c r="A314" s="15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5">
      <c r="A315" s="15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5">
      <c r="A316" s="15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5">
      <c r="A317" s="15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5">
      <c r="A318" s="15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5">
      <c r="A319" s="15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5">
      <c r="A320" s="15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5">
      <c r="A321" s="15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5">
      <c r="A322" s="15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5">
      <c r="A323" s="15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5">
      <c r="A324" s="15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5">
      <c r="A325" s="15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5">
      <c r="A326" s="15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5">
      <c r="A327" s="15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5">
      <c r="A328" s="15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5">
      <c r="A329" s="15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5">
      <c r="A330" s="15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5">
      <c r="A331" s="15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5">
      <c r="A332" s="15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5">
      <c r="A333" s="15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5">
      <c r="A334" s="15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5">
      <c r="A335" s="15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5">
      <c r="A336" s="15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5">
      <c r="A337" s="15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5">
      <c r="A338" s="15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5">
      <c r="A339" s="15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5">
      <c r="A340" s="15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5">
      <c r="A341" s="15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5">
      <c r="A342" s="15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5">
      <c r="A343" s="15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5">
      <c r="A344" s="15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5">
      <c r="A345" s="15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5">
      <c r="A346" s="15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5">
      <c r="A347" s="15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5">
      <c r="A348" s="15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5">
      <c r="A349" s="15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5">
      <c r="A350" s="15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5">
      <c r="A351" s="15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5">
      <c r="A352" s="15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5">
      <c r="A353" s="15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5">
      <c r="A354" s="15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5">
      <c r="A355" s="15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5">
      <c r="A356" s="15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5">
      <c r="A357" s="15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5">
      <c r="A358" s="15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5">
      <c r="A359" s="15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5">
      <c r="A360" s="15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5">
      <c r="A361" s="15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5">
      <c r="A362" s="15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5">
      <c r="A363" s="15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5">
      <c r="A364" s="15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5">
      <c r="A365" s="15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5">
      <c r="A366" s="15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5">
      <c r="A367" s="15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5">
      <c r="A368" s="15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5">
      <c r="A369" s="15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5">
      <c r="A370" s="15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5">
      <c r="A371" s="15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5">
      <c r="A372" s="15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5">
      <c r="A373" s="15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5">
      <c r="A374" s="15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5">
      <c r="A375" s="15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5">
      <c r="A376" s="15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5">
      <c r="A377" s="15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5">
      <c r="A378" s="15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5">
      <c r="A379" s="15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5">
      <c r="A380" s="15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5">
      <c r="A381" s="15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5">
      <c r="A382" s="15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5">
      <c r="A383" s="15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5">
      <c r="A384" s="15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5">
      <c r="A385" s="15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5">
      <c r="A386" s="15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5">
      <c r="A387" s="15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5">
      <c r="A388" s="15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5">
      <c r="A389" s="15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5">
      <c r="A390" s="15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5">
      <c r="A391" s="15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5">
      <c r="A392" s="15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5">
      <c r="A393" s="15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5">
      <c r="A394" s="15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5">
      <c r="A395" s="15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5">
      <c r="A396" s="15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5">
      <c r="A397" s="15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5">
      <c r="A398" s="15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5">
      <c r="A399" s="15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5">
      <c r="A400" s="15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5">
      <c r="A401" s="15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5">
      <c r="A402" s="15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5">
      <c r="A403" s="15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5">
      <c r="A404" s="15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5">
      <c r="A405" s="15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5">
      <c r="A406" s="15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5">
      <c r="A407" s="15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5">
      <c r="A408" s="15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5">
      <c r="A409" s="15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5">
      <c r="A410" s="15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5">
      <c r="A411" s="15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5">
      <c r="A412" s="15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5">
      <c r="A413" s="15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5">
      <c r="A414" s="15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5">
      <c r="A415" s="15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5">
      <c r="A416" s="15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5">
      <c r="A417" s="15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5">
      <c r="A418" s="15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5">
      <c r="A419" s="15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5">
      <c r="A420" s="15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5">
      <c r="A421" s="15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5">
      <c r="A422" s="15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5">
      <c r="A423" s="15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5">
      <c r="A424" s="15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5">
      <c r="A425" s="15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5">
      <c r="A426" s="15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5">
      <c r="A427" s="15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5">
      <c r="A428" s="15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5">
      <c r="A429" s="15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5">
      <c r="A430" s="15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5">
      <c r="A431" s="15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5">
      <c r="A432" s="15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5">
      <c r="A433" s="15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5">
      <c r="A434" s="15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5">
      <c r="A435" s="15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5">
      <c r="A436" s="15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5">
      <c r="A437" s="15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5">
      <c r="A438" s="15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5">
      <c r="A439" s="15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5">
      <c r="A440" s="15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5">
      <c r="A441" s="15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5">
      <c r="A442" s="15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5">
      <c r="A443" s="15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5">
      <c r="A444" s="15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5">
      <c r="A445" s="15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5">
      <c r="A446" s="15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5">
      <c r="A447" s="15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5">
      <c r="A448" s="15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5">
      <c r="A449" s="15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5">
      <c r="A450" s="15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5">
      <c r="A451" s="15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5">
      <c r="A452" s="15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5">
      <c r="A453" s="15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5">
      <c r="A454" s="15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5">
      <c r="A455" s="15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5">
      <c r="A456" s="15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5">
      <c r="A457" s="15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5">
      <c r="A458" s="15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5">
      <c r="A459" s="15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5">
      <c r="A460" s="15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5">
      <c r="A461" s="15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5">
      <c r="A462" s="15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5">
      <c r="A463" s="15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5">
      <c r="A464" s="15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5">
      <c r="A465" s="15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5">
      <c r="A466" s="15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5">
      <c r="A467" s="15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5">
      <c r="A468" s="15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5">
      <c r="A469" s="15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5">
      <c r="A470" s="15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5">
      <c r="A471" s="15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5">
      <c r="A472" s="15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5">
      <c r="A473" s="15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5">
      <c r="A474" s="15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5">
      <c r="A475" s="15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5">
      <c r="A476" s="15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5">
      <c r="A477" s="15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5">
      <c r="A478" s="15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5">
      <c r="A479" s="15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5">
      <c r="A480" s="15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5">
      <c r="A481" s="15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5">
      <c r="A482" s="15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5">
      <c r="A483" s="15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5">
      <c r="A484" s="15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5">
      <c r="A485" s="15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5">
      <c r="A486" s="15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5">
      <c r="A487" s="15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5">
      <c r="A488" s="15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5">
      <c r="A489" s="15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5">
      <c r="A490" s="15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5">
      <c r="A491" s="15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5">
      <c r="A492" s="15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5">
      <c r="A493" s="15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5">
      <c r="A494" s="15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5">
      <c r="A495" s="15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5">
      <c r="A496" s="15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5">
      <c r="A497" s="15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5">
      <c r="A498" s="15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5">
      <c r="A499" s="15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5">
      <c r="A500" s="15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5">
      <c r="A501" s="15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5">
      <c r="A502" s="15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5">
      <c r="A503" s="15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5">
      <c r="A504" s="15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5">
      <c r="A505" s="15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5"/>
    <row r="507" spans="1:5" ht="14.25" customHeight="1" x14ac:dyDescent="0.35"/>
    <row r="508" spans="1:5" ht="14.25" customHeight="1" x14ac:dyDescent="0.35"/>
    <row r="509" spans="1:5" ht="14.25" customHeight="1" x14ac:dyDescent="0.35"/>
    <row r="510" spans="1:5" ht="14.25" customHeight="1" x14ac:dyDescent="0.35"/>
    <row r="511" spans="1:5" ht="14.25" customHeight="1" x14ac:dyDescent="0.35"/>
    <row r="512" spans="1:5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EA59-92F8-46E4-9BB0-0B10696A1617}">
  <dimension ref="A1:BT72"/>
  <sheetViews>
    <sheetView topLeftCell="A28" workbookViewId="0">
      <selection activeCell="B50" sqref="B50"/>
    </sheetView>
  </sheetViews>
  <sheetFormatPr defaultRowHeight="14.5" x14ac:dyDescent="0.35"/>
  <cols>
    <col min="1" max="1" width="36.26953125" bestFit="1" customWidth="1"/>
    <col min="2" max="2" width="11.90625" customWidth="1"/>
    <col min="3" max="4" width="11.81640625" bestFit="1" customWidth="1"/>
    <col min="5" max="6" width="12.6328125" bestFit="1" customWidth="1"/>
    <col min="7" max="7" width="11.1796875" bestFit="1" customWidth="1"/>
    <col min="8" max="8" width="12.6328125" bestFit="1" customWidth="1"/>
    <col min="9" max="9" width="33.1796875" bestFit="1" customWidth="1"/>
    <col min="10" max="10" width="32.1796875" bestFit="1" customWidth="1"/>
    <col min="11" max="11" width="33.1796875" bestFit="1" customWidth="1"/>
    <col min="12" max="12" width="32.1796875" bestFit="1" customWidth="1"/>
    <col min="13" max="13" width="33.1796875" bestFit="1" customWidth="1"/>
    <col min="14" max="14" width="36.6328125" bestFit="1" customWidth="1"/>
    <col min="15" max="15" width="37.7265625" bestFit="1" customWidth="1"/>
    <col min="16" max="16" width="20.453125" bestFit="1" customWidth="1"/>
    <col min="17" max="17" width="13.26953125" bestFit="1" customWidth="1"/>
    <col min="18" max="18" width="20.453125" bestFit="1" customWidth="1"/>
    <col min="19" max="19" width="13.26953125" bestFit="1" customWidth="1"/>
    <col min="20" max="20" width="20.453125" bestFit="1" customWidth="1"/>
    <col min="21" max="21" width="13.26953125" bestFit="1" customWidth="1"/>
    <col min="22" max="22" width="17.81640625" bestFit="1" customWidth="1"/>
    <col min="23" max="23" width="13.26953125" bestFit="1" customWidth="1"/>
    <col min="24" max="24" width="20.453125" bestFit="1" customWidth="1"/>
    <col min="25" max="25" width="13.26953125" bestFit="1" customWidth="1"/>
    <col min="26" max="26" width="20.453125" bestFit="1" customWidth="1"/>
    <col min="27" max="27" width="13.26953125" bestFit="1" customWidth="1"/>
    <col min="28" max="28" width="20.453125" bestFit="1" customWidth="1"/>
    <col min="29" max="29" width="13.26953125" bestFit="1" customWidth="1"/>
    <col min="30" max="30" width="20.453125" bestFit="1" customWidth="1"/>
    <col min="31" max="31" width="13.26953125" bestFit="1" customWidth="1"/>
    <col min="32" max="32" width="20.453125" bestFit="1" customWidth="1"/>
    <col min="33" max="33" width="13.26953125" bestFit="1" customWidth="1"/>
    <col min="34" max="34" width="20.453125" bestFit="1" customWidth="1"/>
    <col min="35" max="35" width="13.26953125" bestFit="1" customWidth="1"/>
    <col min="36" max="36" width="20.453125" bestFit="1" customWidth="1"/>
    <col min="37" max="37" width="13.26953125" bestFit="1" customWidth="1"/>
    <col min="38" max="38" width="20.453125" bestFit="1" customWidth="1"/>
    <col min="39" max="39" width="13.26953125" bestFit="1" customWidth="1"/>
    <col min="40" max="40" width="20.453125" bestFit="1" customWidth="1"/>
    <col min="41" max="41" width="13.26953125" bestFit="1" customWidth="1"/>
    <col min="42" max="42" width="20.453125" bestFit="1" customWidth="1"/>
    <col min="43" max="43" width="13.26953125" bestFit="1" customWidth="1"/>
    <col min="44" max="44" width="20.453125" bestFit="1" customWidth="1"/>
    <col min="45" max="45" width="13.26953125" bestFit="1" customWidth="1"/>
    <col min="46" max="46" width="20.453125" bestFit="1" customWidth="1"/>
    <col min="47" max="47" width="13.26953125" bestFit="1" customWidth="1"/>
    <col min="48" max="48" width="20.453125" bestFit="1" customWidth="1"/>
    <col min="49" max="49" width="13.26953125" bestFit="1" customWidth="1"/>
    <col min="50" max="50" width="20.453125" bestFit="1" customWidth="1"/>
    <col min="51" max="51" width="13.26953125" bestFit="1" customWidth="1"/>
    <col min="52" max="52" width="20.453125" bestFit="1" customWidth="1"/>
    <col min="53" max="53" width="13.26953125" bestFit="1" customWidth="1"/>
    <col min="54" max="54" width="20.453125" bestFit="1" customWidth="1"/>
    <col min="55" max="55" width="13.26953125" bestFit="1" customWidth="1"/>
    <col min="56" max="56" width="20.453125" bestFit="1" customWidth="1"/>
    <col min="57" max="57" width="13.26953125" bestFit="1" customWidth="1"/>
    <col min="58" max="58" width="20.453125" bestFit="1" customWidth="1"/>
    <col min="59" max="59" width="13.26953125" bestFit="1" customWidth="1"/>
    <col min="60" max="60" width="17.81640625" bestFit="1" customWidth="1"/>
    <col min="61" max="61" width="13.26953125" bestFit="1" customWidth="1"/>
    <col min="62" max="62" width="20.453125" bestFit="1" customWidth="1"/>
    <col min="63" max="63" width="13.26953125" bestFit="1" customWidth="1"/>
    <col min="64" max="64" width="20.453125" bestFit="1" customWidth="1"/>
    <col min="65" max="65" width="13.26953125" bestFit="1" customWidth="1"/>
    <col min="66" max="66" width="20.453125" bestFit="1" customWidth="1"/>
    <col min="67" max="67" width="13.26953125" bestFit="1" customWidth="1"/>
    <col min="68" max="68" width="20.453125" bestFit="1" customWidth="1"/>
    <col min="69" max="69" width="13.26953125" bestFit="1" customWidth="1"/>
    <col min="70" max="70" width="20.453125" bestFit="1" customWidth="1"/>
    <col min="71" max="71" width="13.26953125" bestFit="1" customWidth="1"/>
    <col min="72" max="72" width="20.453125" bestFit="1" customWidth="1"/>
    <col min="73" max="73" width="13.26953125" bestFit="1" customWidth="1"/>
    <col min="74" max="74" width="20.453125" bestFit="1" customWidth="1"/>
    <col min="75" max="75" width="13.26953125" bestFit="1" customWidth="1"/>
    <col min="76" max="76" width="20.453125" bestFit="1" customWidth="1"/>
    <col min="77" max="77" width="13.26953125" bestFit="1" customWidth="1"/>
    <col min="78" max="78" width="20.453125" bestFit="1" customWidth="1"/>
    <col min="79" max="79" width="13.26953125" bestFit="1" customWidth="1"/>
    <col min="80" max="80" width="20.453125" bestFit="1" customWidth="1"/>
    <col min="81" max="81" width="13.26953125" bestFit="1" customWidth="1"/>
    <col min="82" max="82" width="20.453125" bestFit="1" customWidth="1"/>
    <col min="83" max="83" width="13.26953125" bestFit="1" customWidth="1"/>
    <col min="84" max="84" width="20.453125" bestFit="1" customWidth="1"/>
    <col min="85" max="85" width="13.26953125" bestFit="1" customWidth="1"/>
    <col min="86" max="86" width="20.453125" bestFit="1" customWidth="1"/>
    <col min="87" max="87" width="13.26953125" bestFit="1" customWidth="1"/>
    <col min="88" max="88" width="20.453125" bestFit="1" customWidth="1"/>
    <col min="89" max="89" width="13.26953125" bestFit="1" customWidth="1"/>
    <col min="90" max="90" width="20.453125" bestFit="1" customWidth="1"/>
    <col min="91" max="91" width="13.26953125" bestFit="1" customWidth="1"/>
    <col min="92" max="92" width="20.453125" bestFit="1" customWidth="1"/>
    <col min="93" max="93" width="13.26953125" bestFit="1" customWidth="1"/>
    <col min="94" max="94" width="20.453125" bestFit="1" customWidth="1"/>
    <col min="95" max="95" width="13.26953125" bestFit="1" customWidth="1"/>
    <col min="96" max="96" width="20.453125" bestFit="1" customWidth="1"/>
    <col min="97" max="97" width="13.26953125" bestFit="1" customWidth="1"/>
    <col min="98" max="98" width="20.453125" bestFit="1" customWidth="1"/>
    <col min="99" max="99" width="13.26953125" bestFit="1" customWidth="1"/>
    <col min="100" max="100" width="20.453125" bestFit="1" customWidth="1"/>
    <col min="101" max="101" width="13.26953125" bestFit="1" customWidth="1"/>
    <col min="102" max="102" width="20.453125" bestFit="1" customWidth="1"/>
    <col min="103" max="103" width="13.26953125" bestFit="1" customWidth="1"/>
    <col min="104" max="104" width="20.453125" bestFit="1" customWidth="1"/>
    <col min="105" max="105" width="13.26953125" bestFit="1" customWidth="1"/>
    <col min="106" max="106" width="20.453125" bestFit="1" customWidth="1"/>
    <col min="107" max="107" width="13.26953125" bestFit="1" customWidth="1"/>
    <col min="108" max="108" width="20.453125" bestFit="1" customWidth="1"/>
    <col min="109" max="109" width="13.26953125" bestFit="1" customWidth="1"/>
    <col min="110" max="110" width="20.453125" bestFit="1" customWidth="1"/>
    <col min="111" max="111" width="13.26953125" bestFit="1" customWidth="1"/>
    <col min="112" max="112" width="20.453125" bestFit="1" customWidth="1"/>
    <col min="113" max="113" width="13.26953125" bestFit="1" customWidth="1"/>
    <col min="114" max="114" width="20.453125" bestFit="1" customWidth="1"/>
    <col min="115" max="115" width="13.26953125" bestFit="1" customWidth="1"/>
    <col min="116" max="116" width="20.453125" bestFit="1" customWidth="1"/>
    <col min="117" max="117" width="14.7265625" bestFit="1" customWidth="1"/>
    <col min="118" max="118" width="20.453125" bestFit="1" customWidth="1"/>
    <col min="119" max="119" width="14.7265625" bestFit="1" customWidth="1"/>
    <col min="120" max="120" width="17.81640625" bestFit="1" customWidth="1"/>
    <col min="121" max="121" width="14.7265625" bestFit="1" customWidth="1"/>
    <col min="122" max="122" width="20.453125" bestFit="1" customWidth="1"/>
    <col min="123" max="123" width="14.7265625" bestFit="1" customWidth="1"/>
    <col min="124" max="124" width="20.453125" bestFit="1" customWidth="1"/>
    <col min="125" max="125" width="14.7265625" bestFit="1" customWidth="1"/>
    <col min="126" max="126" width="20.453125" bestFit="1" customWidth="1"/>
    <col min="127" max="127" width="14.7265625" bestFit="1" customWidth="1"/>
    <col min="128" max="128" width="20.453125" bestFit="1" customWidth="1"/>
    <col min="129" max="129" width="14.7265625" bestFit="1" customWidth="1"/>
    <col min="130" max="130" width="20.453125" bestFit="1" customWidth="1"/>
    <col min="131" max="131" width="14.7265625" bestFit="1" customWidth="1"/>
    <col min="132" max="132" width="20.453125" bestFit="1" customWidth="1"/>
    <col min="133" max="133" width="14.7265625" bestFit="1" customWidth="1"/>
    <col min="134" max="134" width="20.453125" bestFit="1" customWidth="1"/>
    <col min="135" max="135" width="14.7265625" bestFit="1" customWidth="1"/>
    <col min="136" max="136" width="20.453125" bestFit="1" customWidth="1"/>
    <col min="137" max="137" width="14.7265625" bestFit="1" customWidth="1"/>
    <col min="138" max="138" width="20.453125" bestFit="1" customWidth="1"/>
    <col min="139" max="139" width="14.7265625" bestFit="1" customWidth="1"/>
    <col min="140" max="140" width="20.453125" bestFit="1" customWidth="1"/>
    <col min="141" max="141" width="14.7265625" bestFit="1" customWidth="1"/>
    <col min="142" max="142" width="20.453125" bestFit="1" customWidth="1"/>
    <col min="143" max="143" width="14.7265625" bestFit="1" customWidth="1"/>
    <col min="144" max="144" width="20.453125" bestFit="1" customWidth="1"/>
    <col min="145" max="145" width="14.7265625" bestFit="1" customWidth="1"/>
    <col min="146" max="146" width="20.453125" bestFit="1" customWidth="1"/>
    <col min="147" max="147" width="14.7265625" bestFit="1" customWidth="1"/>
    <col min="148" max="148" width="20.453125" bestFit="1" customWidth="1"/>
    <col min="149" max="149" width="14.7265625" bestFit="1" customWidth="1"/>
    <col min="150" max="150" width="20.453125" bestFit="1" customWidth="1"/>
    <col min="151" max="151" width="14.7265625" bestFit="1" customWidth="1"/>
    <col min="152" max="152" width="20.453125" bestFit="1" customWidth="1"/>
    <col min="153" max="153" width="14.7265625" bestFit="1" customWidth="1"/>
    <col min="154" max="154" width="20.453125" bestFit="1" customWidth="1"/>
    <col min="155" max="155" width="14.7265625" bestFit="1" customWidth="1"/>
    <col min="156" max="156" width="20.453125" bestFit="1" customWidth="1"/>
    <col min="157" max="157" width="14.7265625" bestFit="1" customWidth="1"/>
    <col min="158" max="158" width="20.453125" bestFit="1" customWidth="1"/>
    <col min="159" max="159" width="14.7265625" bestFit="1" customWidth="1"/>
    <col min="160" max="160" width="20.453125" bestFit="1" customWidth="1"/>
    <col min="161" max="161" width="14.7265625" bestFit="1" customWidth="1"/>
    <col min="162" max="162" width="20.453125" bestFit="1" customWidth="1"/>
    <col min="163" max="163" width="14.7265625" bestFit="1" customWidth="1"/>
    <col min="164" max="164" width="20.453125" bestFit="1" customWidth="1"/>
    <col min="165" max="165" width="14.7265625" bestFit="1" customWidth="1"/>
    <col min="166" max="166" width="20.453125" bestFit="1" customWidth="1"/>
    <col min="167" max="167" width="14.7265625" bestFit="1" customWidth="1"/>
    <col min="168" max="168" width="20.453125" bestFit="1" customWidth="1"/>
    <col min="169" max="169" width="14.7265625" bestFit="1" customWidth="1"/>
    <col min="170" max="170" width="20.453125" bestFit="1" customWidth="1"/>
    <col min="171" max="171" width="14.7265625" bestFit="1" customWidth="1"/>
    <col min="172" max="172" width="20.453125" bestFit="1" customWidth="1"/>
    <col min="173" max="173" width="14.7265625" bestFit="1" customWidth="1"/>
    <col min="174" max="174" width="20.453125" bestFit="1" customWidth="1"/>
    <col min="175" max="175" width="14.7265625" bestFit="1" customWidth="1"/>
    <col min="176" max="176" width="20.453125" bestFit="1" customWidth="1"/>
    <col min="177" max="177" width="14.7265625" bestFit="1" customWidth="1"/>
    <col min="178" max="178" width="20.453125" bestFit="1" customWidth="1"/>
    <col min="179" max="179" width="14.7265625" bestFit="1" customWidth="1"/>
    <col min="180" max="180" width="20.453125" bestFit="1" customWidth="1"/>
    <col min="181" max="181" width="14.7265625" bestFit="1" customWidth="1"/>
    <col min="182" max="182" width="20.453125" bestFit="1" customWidth="1"/>
    <col min="183" max="183" width="14.7265625" bestFit="1" customWidth="1"/>
    <col min="184" max="184" width="20.453125" bestFit="1" customWidth="1"/>
    <col min="185" max="185" width="14.7265625" bestFit="1" customWidth="1"/>
    <col min="186" max="186" width="20.453125" bestFit="1" customWidth="1"/>
    <col min="187" max="187" width="14.7265625" bestFit="1" customWidth="1"/>
    <col min="188" max="188" width="20.453125" bestFit="1" customWidth="1"/>
    <col min="189" max="189" width="14.7265625" bestFit="1" customWidth="1"/>
    <col min="190" max="190" width="20.453125" bestFit="1" customWidth="1"/>
    <col min="191" max="191" width="14.7265625" bestFit="1" customWidth="1"/>
    <col min="192" max="192" width="20.453125" bestFit="1" customWidth="1"/>
    <col min="193" max="193" width="14.7265625" bestFit="1" customWidth="1"/>
    <col min="194" max="194" width="20.453125" bestFit="1" customWidth="1"/>
    <col min="195" max="195" width="14.7265625" bestFit="1" customWidth="1"/>
    <col min="196" max="196" width="20.453125" bestFit="1" customWidth="1"/>
    <col min="197" max="197" width="14.7265625" bestFit="1" customWidth="1"/>
    <col min="198" max="198" width="20.453125" bestFit="1" customWidth="1"/>
    <col min="199" max="199" width="14.7265625" bestFit="1" customWidth="1"/>
    <col min="200" max="200" width="20.453125" bestFit="1" customWidth="1"/>
    <col min="201" max="201" width="14.7265625" bestFit="1" customWidth="1"/>
    <col min="202" max="202" width="20.453125" bestFit="1" customWidth="1"/>
    <col min="203" max="203" width="14.7265625" bestFit="1" customWidth="1"/>
    <col min="204" max="204" width="20.453125" bestFit="1" customWidth="1"/>
    <col min="205" max="205" width="14.7265625" bestFit="1" customWidth="1"/>
    <col min="206" max="206" width="20.453125" bestFit="1" customWidth="1"/>
    <col min="207" max="207" width="14.7265625" bestFit="1" customWidth="1"/>
    <col min="208" max="208" width="20.453125" bestFit="1" customWidth="1"/>
    <col min="209" max="209" width="14.7265625" bestFit="1" customWidth="1"/>
    <col min="210" max="210" width="20.453125" bestFit="1" customWidth="1"/>
    <col min="211" max="211" width="14.7265625" bestFit="1" customWidth="1"/>
    <col min="212" max="212" width="20.453125" bestFit="1" customWidth="1"/>
    <col min="213" max="213" width="14.7265625" bestFit="1" customWidth="1"/>
    <col min="214" max="214" width="20.453125" bestFit="1" customWidth="1"/>
    <col min="215" max="215" width="14.7265625" bestFit="1" customWidth="1"/>
    <col min="216" max="216" width="20.453125" bestFit="1" customWidth="1"/>
    <col min="217" max="217" width="14.7265625" bestFit="1" customWidth="1"/>
    <col min="218" max="218" width="20.453125" bestFit="1" customWidth="1"/>
    <col min="219" max="219" width="14.7265625" bestFit="1" customWidth="1"/>
    <col min="220" max="220" width="20.453125" bestFit="1" customWidth="1"/>
    <col min="221" max="221" width="14.7265625" bestFit="1" customWidth="1"/>
    <col min="222" max="222" width="20.453125" bestFit="1" customWidth="1"/>
    <col min="223" max="223" width="14.7265625" bestFit="1" customWidth="1"/>
    <col min="224" max="224" width="20.453125" bestFit="1" customWidth="1"/>
    <col min="225" max="225" width="14.7265625" bestFit="1" customWidth="1"/>
    <col min="226" max="226" width="20.453125" bestFit="1" customWidth="1"/>
    <col min="227" max="227" width="14.7265625" bestFit="1" customWidth="1"/>
    <col min="228" max="228" width="20.453125" bestFit="1" customWidth="1"/>
    <col min="229" max="229" width="14.7265625" bestFit="1" customWidth="1"/>
    <col min="230" max="230" width="20.453125" bestFit="1" customWidth="1"/>
    <col min="231" max="231" width="14.7265625" bestFit="1" customWidth="1"/>
    <col min="232" max="232" width="17.81640625" bestFit="1" customWidth="1"/>
    <col min="233" max="233" width="14.7265625" bestFit="1" customWidth="1"/>
    <col min="234" max="234" width="20.453125" bestFit="1" customWidth="1"/>
    <col min="235" max="235" width="14.7265625" bestFit="1" customWidth="1"/>
    <col min="236" max="236" width="20.453125" bestFit="1" customWidth="1"/>
    <col min="237" max="237" width="14.7265625" bestFit="1" customWidth="1"/>
    <col min="238" max="238" width="20.453125" bestFit="1" customWidth="1"/>
    <col min="239" max="239" width="14.7265625" bestFit="1" customWidth="1"/>
    <col min="240" max="240" width="20.453125" bestFit="1" customWidth="1"/>
    <col min="241" max="241" width="14.7265625" bestFit="1" customWidth="1"/>
    <col min="242" max="242" width="20.453125" bestFit="1" customWidth="1"/>
    <col min="243" max="243" width="14.7265625" bestFit="1" customWidth="1"/>
    <col min="244" max="244" width="20.453125" bestFit="1" customWidth="1"/>
    <col min="245" max="245" width="14.7265625" bestFit="1" customWidth="1"/>
    <col min="246" max="246" width="20.453125" bestFit="1" customWidth="1"/>
    <col min="247" max="247" width="14.7265625" bestFit="1" customWidth="1"/>
    <col min="248" max="248" width="20.453125" bestFit="1" customWidth="1"/>
    <col min="249" max="249" width="14.7265625" bestFit="1" customWidth="1"/>
    <col min="250" max="250" width="20.453125" bestFit="1" customWidth="1"/>
    <col min="251" max="251" width="14.7265625" bestFit="1" customWidth="1"/>
    <col min="252" max="252" width="20.453125" bestFit="1" customWidth="1"/>
    <col min="253" max="253" width="14.7265625" bestFit="1" customWidth="1"/>
    <col min="254" max="254" width="20.453125" bestFit="1" customWidth="1"/>
    <col min="255" max="255" width="14.7265625" bestFit="1" customWidth="1"/>
    <col min="256" max="256" width="20.453125" bestFit="1" customWidth="1"/>
    <col min="257" max="257" width="14.7265625" bestFit="1" customWidth="1"/>
    <col min="258" max="258" width="20.453125" bestFit="1" customWidth="1"/>
    <col min="259" max="259" width="14.7265625" bestFit="1" customWidth="1"/>
    <col min="260" max="260" width="20.453125" bestFit="1" customWidth="1"/>
    <col min="261" max="261" width="14.7265625" bestFit="1" customWidth="1"/>
    <col min="262" max="262" width="20.453125" bestFit="1" customWidth="1"/>
    <col min="263" max="263" width="14.7265625" bestFit="1" customWidth="1"/>
    <col min="264" max="264" width="20.453125" bestFit="1" customWidth="1"/>
    <col min="265" max="265" width="14.7265625" bestFit="1" customWidth="1"/>
    <col min="266" max="266" width="20.453125" bestFit="1" customWidth="1"/>
    <col min="267" max="267" width="14.7265625" bestFit="1" customWidth="1"/>
    <col min="268" max="268" width="20.453125" bestFit="1" customWidth="1"/>
    <col min="269" max="269" width="14.7265625" bestFit="1" customWidth="1"/>
    <col min="270" max="270" width="20.453125" bestFit="1" customWidth="1"/>
    <col min="271" max="271" width="14.7265625" bestFit="1" customWidth="1"/>
    <col min="272" max="272" width="20.453125" bestFit="1" customWidth="1"/>
    <col min="273" max="273" width="14.7265625" bestFit="1" customWidth="1"/>
    <col min="274" max="274" width="20.453125" bestFit="1" customWidth="1"/>
    <col min="275" max="275" width="14.7265625" bestFit="1" customWidth="1"/>
    <col min="276" max="276" width="20.453125" bestFit="1" customWidth="1"/>
    <col min="277" max="277" width="14.7265625" bestFit="1" customWidth="1"/>
    <col min="278" max="278" width="20.453125" bestFit="1" customWidth="1"/>
    <col min="279" max="279" width="14.7265625" bestFit="1" customWidth="1"/>
    <col min="280" max="280" width="20.453125" bestFit="1" customWidth="1"/>
    <col min="281" max="281" width="14.7265625" bestFit="1" customWidth="1"/>
    <col min="282" max="282" width="20.453125" bestFit="1" customWidth="1"/>
    <col min="283" max="283" width="14.7265625" bestFit="1" customWidth="1"/>
    <col min="284" max="284" width="17.81640625" bestFit="1" customWidth="1"/>
    <col min="285" max="285" width="14.7265625" bestFit="1" customWidth="1"/>
    <col min="286" max="286" width="20.453125" bestFit="1" customWidth="1"/>
    <col min="287" max="287" width="14.7265625" bestFit="1" customWidth="1"/>
    <col min="288" max="288" width="20.453125" bestFit="1" customWidth="1"/>
    <col min="289" max="289" width="14.7265625" bestFit="1" customWidth="1"/>
    <col min="290" max="290" width="17.81640625" bestFit="1" customWidth="1"/>
    <col min="291" max="291" width="14.7265625" bestFit="1" customWidth="1"/>
    <col min="292" max="292" width="20.453125" bestFit="1" customWidth="1"/>
    <col min="293" max="293" width="14.7265625" bestFit="1" customWidth="1"/>
    <col min="294" max="294" width="20.453125" bestFit="1" customWidth="1"/>
    <col min="295" max="295" width="14.7265625" bestFit="1" customWidth="1"/>
    <col min="296" max="296" width="20.453125" bestFit="1" customWidth="1"/>
    <col min="297" max="297" width="14.7265625" bestFit="1" customWidth="1"/>
    <col min="298" max="298" width="20.453125" bestFit="1" customWidth="1"/>
    <col min="299" max="299" width="14.7265625" bestFit="1" customWidth="1"/>
    <col min="300" max="300" width="20.453125" bestFit="1" customWidth="1"/>
    <col min="301" max="301" width="14.7265625" bestFit="1" customWidth="1"/>
    <col min="302" max="302" width="20.453125" bestFit="1" customWidth="1"/>
    <col min="303" max="303" width="14.7265625" bestFit="1" customWidth="1"/>
    <col min="304" max="304" width="20.453125" bestFit="1" customWidth="1"/>
    <col min="305" max="305" width="14.7265625" bestFit="1" customWidth="1"/>
    <col min="306" max="306" width="20.453125" bestFit="1" customWidth="1"/>
    <col min="307" max="307" width="14.7265625" bestFit="1" customWidth="1"/>
    <col min="308" max="308" width="20.453125" bestFit="1" customWidth="1"/>
    <col min="309" max="309" width="14.7265625" bestFit="1" customWidth="1"/>
    <col min="310" max="310" width="20.453125" bestFit="1" customWidth="1"/>
    <col min="311" max="311" width="14.7265625" bestFit="1" customWidth="1"/>
    <col min="312" max="312" width="20.453125" bestFit="1" customWidth="1"/>
    <col min="313" max="313" width="14.7265625" bestFit="1" customWidth="1"/>
    <col min="314" max="314" width="20.453125" bestFit="1" customWidth="1"/>
    <col min="315" max="315" width="14.7265625" bestFit="1" customWidth="1"/>
    <col min="316" max="316" width="20.453125" bestFit="1" customWidth="1"/>
    <col min="317" max="317" width="14.7265625" bestFit="1" customWidth="1"/>
    <col min="318" max="318" width="20.453125" bestFit="1" customWidth="1"/>
    <col min="319" max="319" width="14.7265625" bestFit="1" customWidth="1"/>
    <col min="320" max="320" width="20.453125" bestFit="1" customWidth="1"/>
    <col min="321" max="321" width="14.7265625" bestFit="1" customWidth="1"/>
    <col min="322" max="322" width="20.453125" bestFit="1" customWidth="1"/>
    <col min="323" max="323" width="14.7265625" bestFit="1" customWidth="1"/>
    <col min="324" max="324" width="20.453125" bestFit="1" customWidth="1"/>
    <col min="325" max="325" width="14.7265625" bestFit="1" customWidth="1"/>
    <col min="326" max="326" width="20.453125" bestFit="1" customWidth="1"/>
    <col min="327" max="327" width="14.7265625" bestFit="1" customWidth="1"/>
    <col min="328" max="328" width="20.453125" bestFit="1" customWidth="1"/>
    <col min="329" max="329" width="14.7265625" bestFit="1" customWidth="1"/>
    <col min="330" max="330" width="20.453125" bestFit="1" customWidth="1"/>
    <col min="331" max="331" width="14.7265625" bestFit="1" customWidth="1"/>
    <col min="332" max="332" width="20.453125" bestFit="1" customWidth="1"/>
    <col min="333" max="333" width="14.7265625" bestFit="1" customWidth="1"/>
    <col min="334" max="334" width="20.453125" bestFit="1" customWidth="1"/>
    <col min="335" max="335" width="14.7265625" bestFit="1" customWidth="1"/>
    <col min="336" max="336" width="20.453125" bestFit="1" customWidth="1"/>
    <col min="337" max="337" width="14.7265625" bestFit="1" customWidth="1"/>
    <col min="338" max="338" width="20.453125" bestFit="1" customWidth="1"/>
    <col min="339" max="339" width="14.7265625" bestFit="1" customWidth="1"/>
    <col min="340" max="340" width="20.453125" bestFit="1" customWidth="1"/>
    <col min="341" max="341" width="14.7265625" bestFit="1" customWidth="1"/>
    <col min="342" max="342" width="20.453125" bestFit="1" customWidth="1"/>
    <col min="343" max="343" width="14.7265625" bestFit="1" customWidth="1"/>
    <col min="344" max="344" width="20.453125" bestFit="1" customWidth="1"/>
    <col min="345" max="345" width="14.7265625" bestFit="1" customWidth="1"/>
    <col min="346" max="346" width="20.453125" bestFit="1" customWidth="1"/>
    <col min="347" max="347" width="14.7265625" bestFit="1" customWidth="1"/>
    <col min="348" max="348" width="20.453125" bestFit="1" customWidth="1"/>
    <col min="349" max="349" width="14.7265625" bestFit="1" customWidth="1"/>
    <col min="350" max="350" width="20.453125" bestFit="1" customWidth="1"/>
    <col min="351" max="351" width="14.7265625" bestFit="1" customWidth="1"/>
    <col min="352" max="352" width="20.453125" bestFit="1" customWidth="1"/>
    <col min="353" max="353" width="14.7265625" bestFit="1" customWidth="1"/>
    <col min="354" max="354" width="20.453125" bestFit="1" customWidth="1"/>
    <col min="355" max="355" width="14.7265625" bestFit="1" customWidth="1"/>
    <col min="356" max="356" width="20.453125" bestFit="1" customWidth="1"/>
    <col min="357" max="357" width="14.7265625" bestFit="1" customWidth="1"/>
    <col min="358" max="358" width="20.453125" bestFit="1" customWidth="1"/>
    <col min="359" max="359" width="14.7265625" bestFit="1" customWidth="1"/>
    <col min="360" max="360" width="20.453125" bestFit="1" customWidth="1"/>
    <col min="361" max="361" width="14.7265625" bestFit="1" customWidth="1"/>
    <col min="362" max="362" width="20.453125" bestFit="1" customWidth="1"/>
    <col min="363" max="363" width="14.7265625" bestFit="1" customWidth="1"/>
    <col min="364" max="364" width="20.453125" bestFit="1" customWidth="1"/>
    <col min="365" max="365" width="14.7265625" bestFit="1" customWidth="1"/>
    <col min="366" max="366" width="20.453125" bestFit="1" customWidth="1"/>
    <col min="367" max="367" width="14.7265625" bestFit="1" customWidth="1"/>
    <col min="368" max="368" width="20.453125" bestFit="1" customWidth="1"/>
    <col min="369" max="369" width="14.7265625" bestFit="1" customWidth="1"/>
    <col min="370" max="370" width="20.453125" bestFit="1" customWidth="1"/>
    <col min="371" max="371" width="14.7265625" bestFit="1" customWidth="1"/>
    <col min="372" max="372" width="20.453125" bestFit="1" customWidth="1"/>
    <col min="373" max="373" width="14.7265625" bestFit="1" customWidth="1"/>
    <col min="374" max="374" width="20.453125" bestFit="1" customWidth="1"/>
    <col min="375" max="375" width="14.7265625" bestFit="1" customWidth="1"/>
    <col min="376" max="376" width="20.453125" bestFit="1" customWidth="1"/>
    <col min="377" max="377" width="14.7265625" bestFit="1" customWidth="1"/>
    <col min="378" max="378" width="20.453125" bestFit="1" customWidth="1"/>
    <col min="379" max="379" width="14.7265625" bestFit="1" customWidth="1"/>
    <col min="380" max="380" width="20.453125" bestFit="1" customWidth="1"/>
    <col min="381" max="381" width="14.7265625" bestFit="1" customWidth="1"/>
    <col min="382" max="382" width="20.453125" bestFit="1" customWidth="1"/>
    <col min="383" max="383" width="14.7265625" bestFit="1" customWidth="1"/>
    <col min="384" max="384" width="20.453125" bestFit="1" customWidth="1"/>
    <col min="385" max="385" width="14.7265625" bestFit="1" customWidth="1"/>
    <col min="386" max="386" width="20.453125" bestFit="1" customWidth="1"/>
    <col min="387" max="387" width="14.7265625" bestFit="1" customWidth="1"/>
    <col min="388" max="388" width="20.453125" bestFit="1" customWidth="1"/>
    <col min="389" max="389" width="14.7265625" bestFit="1" customWidth="1"/>
    <col min="390" max="390" width="20.453125" bestFit="1" customWidth="1"/>
    <col min="391" max="391" width="14.7265625" bestFit="1" customWidth="1"/>
    <col min="392" max="392" width="20.453125" bestFit="1" customWidth="1"/>
    <col min="393" max="393" width="14.7265625" bestFit="1" customWidth="1"/>
    <col min="394" max="394" width="20.453125" bestFit="1" customWidth="1"/>
    <col min="395" max="395" width="14.7265625" bestFit="1" customWidth="1"/>
    <col min="396" max="396" width="20.453125" bestFit="1" customWidth="1"/>
    <col min="397" max="397" width="14.7265625" bestFit="1" customWidth="1"/>
    <col min="398" max="398" width="17.81640625" bestFit="1" customWidth="1"/>
    <col min="399" max="399" width="14.7265625" bestFit="1" customWidth="1"/>
    <col min="400" max="400" width="20.453125" bestFit="1" customWidth="1"/>
    <col min="401" max="401" width="14.7265625" bestFit="1" customWidth="1"/>
    <col min="402" max="402" width="20.453125" bestFit="1" customWidth="1"/>
    <col min="403" max="403" width="14.7265625" bestFit="1" customWidth="1"/>
    <col min="404" max="404" width="20.453125" bestFit="1" customWidth="1"/>
    <col min="405" max="405" width="14.7265625" bestFit="1" customWidth="1"/>
    <col min="406" max="406" width="20.453125" bestFit="1" customWidth="1"/>
    <col min="407" max="407" width="14.7265625" bestFit="1" customWidth="1"/>
    <col min="408" max="408" width="20.453125" bestFit="1" customWidth="1"/>
    <col min="409" max="409" width="14.7265625" bestFit="1" customWidth="1"/>
    <col min="410" max="410" width="20.453125" bestFit="1" customWidth="1"/>
    <col min="411" max="411" width="14.7265625" bestFit="1" customWidth="1"/>
    <col min="412" max="412" width="20.453125" bestFit="1" customWidth="1"/>
    <col min="413" max="413" width="14.7265625" bestFit="1" customWidth="1"/>
    <col min="414" max="414" width="20.453125" bestFit="1" customWidth="1"/>
    <col min="415" max="415" width="14.7265625" bestFit="1" customWidth="1"/>
    <col min="416" max="416" width="20.453125" bestFit="1" customWidth="1"/>
    <col min="417" max="417" width="14.7265625" bestFit="1" customWidth="1"/>
    <col min="418" max="418" width="20.453125" bestFit="1" customWidth="1"/>
    <col min="419" max="419" width="14.7265625" bestFit="1" customWidth="1"/>
    <col min="420" max="420" width="20.453125" bestFit="1" customWidth="1"/>
    <col min="421" max="421" width="14.7265625" bestFit="1" customWidth="1"/>
    <col min="422" max="422" width="20.453125" bestFit="1" customWidth="1"/>
    <col min="423" max="423" width="14.7265625" bestFit="1" customWidth="1"/>
    <col min="424" max="424" width="20.453125" bestFit="1" customWidth="1"/>
    <col min="425" max="425" width="14.7265625" bestFit="1" customWidth="1"/>
    <col min="426" max="426" width="20.453125" bestFit="1" customWidth="1"/>
    <col min="427" max="427" width="14.7265625" bestFit="1" customWidth="1"/>
    <col min="428" max="428" width="20.453125" bestFit="1" customWidth="1"/>
    <col min="429" max="429" width="14.7265625" bestFit="1" customWidth="1"/>
    <col min="430" max="430" width="20.453125" bestFit="1" customWidth="1"/>
    <col min="431" max="431" width="14.7265625" bestFit="1" customWidth="1"/>
    <col min="432" max="432" width="20.453125" bestFit="1" customWidth="1"/>
    <col min="433" max="433" width="14.7265625" bestFit="1" customWidth="1"/>
    <col min="434" max="434" width="20.453125" bestFit="1" customWidth="1"/>
    <col min="435" max="435" width="14.7265625" bestFit="1" customWidth="1"/>
    <col min="436" max="436" width="20.453125" bestFit="1" customWidth="1"/>
    <col min="437" max="437" width="14.7265625" bestFit="1" customWidth="1"/>
    <col min="438" max="438" width="20.453125" bestFit="1" customWidth="1"/>
    <col min="439" max="439" width="14.7265625" bestFit="1" customWidth="1"/>
    <col min="440" max="440" width="20.453125" bestFit="1" customWidth="1"/>
    <col min="441" max="441" width="14.7265625" bestFit="1" customWidth="1"/>
    <col min="442" max="442" width="20.453125" bestFit="1" customWidth="1"/>
    <col min="443" max="443" width="14.7265625" bestFit="1" customWidth="1"/>
    <col min="444" max="444" width="20.453125" bestFit="1" customWidth="1"/>
    <col min="445" max="445" width="14.7265625" bestFit="1" customWidth="1"/>
    <col min="446" max="446" width="20.453125" bestFit="1" customWidth="1"/>
    <col min="447" max="447" width="14.7265625" bestFit="1" customWidth="1"/>
    <col min="448" max="448" width="20.453125" bestFit="1" customWidth="1"/>
    <col min="449" max="449" width="14.7265625" bestFit="1" customWidth="1"/>
    <col min="450" max="450" width="20.453125" bestFit="1" customWidth="1"/>
    <col min="451" max="451" width="14.7265625" bestFit="1" customWidth="1"/>
    <col min="452" max="452" width="20.453125" bestFit="1" customWidth="1"/>
    <col min="453" max="453" width="14.7265625" bestFit="1" customWidth="1"/>
    <col min="454" max="454" width="20.453125" bestFit="1" customWidth="1"/>
    <col min="455" max="455" width="14.7265625" bestFit="1" customWidth="1"/>
    <col min="456" max="456" width="20.453125" bestFit="1" customWidth="1"/>
    <col min="457" max="457" width="14.7265625" bestFit="1" customWidth="1"/>
    <col min="458" max="458" width="20.453125" bestFit="1" customWidth="1"/>
    <col min="459" max="459" width="14.7265625" bestFit="1" customWidth="1"/>
    <col min="460" max="460" width="20.453125" bestFit="1" customWidth="1"/>
    <col min="461" max="461" width="14.7265625" bestFit="1" customWidth="1"/>
    <col min="462" max="462" width="20.453125" bestFit="1" customWidth="1"/>
    <col min="463" max="463" width="14.7265625" bestFit="1" customWidth="1"/>
    <col min="464" max="464" width="20.453125" bestFit="1" customWidth="1"/>
    <col min="465" max="465" width="14.7265625" bestFit="1" customWidth="1"/>
    <col min="466" max="466" width="20.453125" bestFit="1" customWidth="1"/>
    <col min="467" max="467" width="14.7265625" bestFit="1" customWidth="1"/>
    <col min="468" max="468" width="20.453125" bestFit="1" customWidth="1"/>
    <col min="469" max="469" width="14.7265625" bestFit="1" customWidth="1"/>
    <col min="470" max="470" width="20.453125" bestFit="1" customWidth="1"/>
    <col min="471" max="471" width="14.7265625" bestFit="1" customWidth="1"/>
    <col min="472" max="472" width="20.453125" bestFit="1" customWidth="1"/>
    <col min="473" max="473" width="14.7265625" bestFit="1" customWidth="1"/>
    <col min="474" max="474" width="20.453125" bestFit="1" customWidth="1"/>
    <col min="475" max="475" width="14.7265625" bestFit="1" customWidth="1"/>
    <col min="476" max="476" width="20.453125" bestFit="1" customWidth="1"/>
    <col min="477" max="477" width="14.7265625" bestFit="1" customWidth="1"/>
    <col min="478" max="478" width="20.453125" bestFit="1" customWidth="1"/>
    <col min="479" max="479" width="14.7265625" bestFit="1" customWidth="1"/>
    <col min="480" max="480" width="20.453125" bestFit="1" customWidth="1"/>
    <col min="481" max="481" width="14.7265625" bestFit="1" customWidth="1"/>
    <col min="482" max="482" width="20.453125" bestFit="1" customWidth="1"/>
    <col min="483" max="483" width="14.7265625" bestFit="1" customWidth="1"/>
    <col min="484" max="484" width="20.453125" bestFit="1" customWidth="1"/>
    <col min="485" max="485" width="14.7265625" bestFit="1" customWidth="1"/>
    <col min="486" max="486" width="17.81640625" bestFit="1" customWidth="1"/>
    <col min="487" max="487" width="14.7265625" bestFit="1" customWidth="1"/>
    <col min="488" max="488" width="20.453125" bestFit="1" customWidth="1"/>
    <col min="489" max="489" width="14.7265625" bestFit="1" customWidth="1"/>
    <col min="490" max="490" width="20.453125" bestFit="1" customWidth="1"/>
    <col min="491" max="491" width="14.7265625" bestFit="1" customWidth="1"/>
    <col min="492" max="492" width="20.453125" bestFit="1" customWidth="1"/>
    <col min="493" max="493" width="14.7265625" bestFit="1" customWidth="1"/>
    <col min="494" max="494" width="20.453125" bestFit="1" customWidth="1"/>
    <col min="495" max="495" width="14.7265625" bestFit="1" customWidth="1"/>
    <col min="496" max="496" width="20.453125" bestFit="1" customWidth="1"/>
    <col min="497" max="497" width="14.7265625" bestFit="1" customWidth="1"/>
    <col min="498" max="498" width="17.81640625" bestFit="1" customWidth="1"/>
    <col min="499" max="499" width="14.7265625" bestFit="1" customWidth="1"/>
    <col min="500" max="500" width="20.453125" bestFit="1" customWidth="1"/>
    <col min="501" max="501" width="14.7265625" bestFit="1" customWidth="1"/>
    <col min="502" max="502" width="20.453125" bestFit="1" customWidth="1"/>
    <col min="503" max="503" width="14.7265625" bestFit="1" customWidth="1"/>
    <col min="504" max="504" width="20.453125" bestFit="1" customWidth="1"/>
    <col min="505" max="505" width="14.7265625" bestFit="1" customWidth="1"/>
    <col min="506" max="506" width="20.453125" bestFit="1" customWidth="1"/>
    <col min="507" max="507" width="14.7265625" bestFit="1" customWidth="1"/>
    <col min="508" max="508" width="20.453125" bestFit="1" customWidth="1"/>
    <col min="509" max="509" width="14.7265625" bestFit="1" customWidth="1"/>
    <col min="510" max="510" width="20.453125" bestFit="1" customWidth="1"/>
    <col min="511" max="511" width="14.7265625" bestFit="1" customWidth="1"/>
    <col min="512" max="512" width="20.453125" bestFit="1" customWidth="1"/>
    <col min="513" max="513" width="14.7265625" bestFit="1" customWidth="1"/>
    <col min="514" max="514" width="20.453125" bestFit="1" customWidth="1"/>
    <col min="515" max="515" width="14.7265625" bestFit="1" customWidth="1"/>
    <col min="516" max="516" width="20.453125" bestFit="1" customWidth="1"/>
    <col min="517" max="517" width="14.7265625" bestFit="1" customWidth="1"/>
    <col min="518" max="518" width="20.453125" bestFit="1" customWidth="1"/>
    <col min="519" max="519" width="14.7265625" bestFit="1" customWidth="1"/>
    <col min="520" max="520" width="20.453125" bestFit="1" customWidth="1"/>
    <col min="521" max="521" width="14.7265625" bestFit="1" customWidth="1"/>
    <col min="522" max="522" width="20.453125" bestFit="1" customWidth="1"/>
    <col min="523" max="523" width="14.7265625" bestFit="1" customWidth="1"/>
    <col min="524" max="524" width="20.453125" bestFit="1" customWidth="1"/>
    <col min="525" max="525" width="14.7265625" bestFit="1" customWidth="1"/>
    <col min="526" max="526" width="20.453125" bestFit="1" customWidth="1"/>
    <col min="527" max="527" width="14.7265625" bestFit="1" customWidth="1"/>
    <col min="528" max="528" width="20.453125" bestFit="1" customWidth="1"/>
    <col min="529" max="529" width="14.7265625" bestFit="1" customWidth="1"/>
    <col min="530" max="530" width="20.453125" bestFit="1" customWidth="1"/>
    <col min="531" max="531" width="14.7265625" bestFit="1" customWidth="1"/>
    <col min="532" max="532" width="20.453125" bestFit="1" customWidth="1"/>
    <col min="533" max="533" width="14.7265625" bestFit="1" customWidth="1"/>
    <col min="534" max="534" width="20.453125" bestFit="1" customWidth="1"/>
    <col min="535" max="535" width="14.7265625" bestFit="1" customWidth="1"/>
    <col min="536" max="536" width="20.453125" bestFit="1" customWidth="1"/>
    <col min="537" max="537" width="14.7265625" bestFit="1" customWidth="1"/>
    <col min="538" max="538" width="20.453125" bestFit="1" customWidth="1"/>
    <col min="539" max="539" width="14.7265625" bestFit="1" customWidth="1"/>
    <col min="540" max="540" width="20.453125" bestFit="1" customWidth="1"/>
    <col min="541" max="541" width="14.7265625" bestFit="1" customWidth="1"/>
    <col min="542" max="542" width="20.453125" bestFit="1" customWidth="1"/>
    <col min="543" max="543" width="14.7265625" bestFit="1" customWidth="1"/>
    <col min="544" max="544" width="20.453125" bestFit="1" customWidth="1"/>
    <col min="545" max="545" width="14.7265625" bestFit="1" customWidth="1"/>
    <col min="546" max="546" width="20.453125" bestFit="1" customWidth="1"/>
    <col min="547" max="547" width="14.7265625" bestFit="1" customWidth="1"/>
    <col min="548" max="548" width="20.453125" bestFit="1" customWidth="1"/>
    <col min="549" max="549" width="14.7265625" bestFit="1" customWidth="1"/>
    <col min="550" max="550" width="20.453125" bestFit="1" customWidth="1"/>
    <col min="551" max="551" width="14.7265625" bestFit="1" customWidth="1"/>
    <col min="552" max="552" width="20.453125" bestFit="1" customWidth="1"/>
    <col min="553" max="553" width="14.7265625" bestFit="1" customWidth="1"/>
    <col min="554" max="554" width="20.453125" bestFit="1" customWidth="1"/>
    <col min="555" max="555" width="14.7265625" bestFit="1" customWidth="1"/>
    <col min="556" max="556" width="20.453125" bestFit="1" customWidth="1"/>
    <col min="557" max="557" width="14.7265625" bestFit="1" customWidth="1"/>
    <col min="558" max="558" width="20.453125" bestFit="1" customWidth="1"/>
    <col min="559" max="559" width="14.7265625" bestFit="1" customWidth="1"/>
    <col min="560" max="560" width="20.453125" bestFit="1" customWidth="1"/>
    <col min="561" max="561" width="14.7265625" bestFit="1" customWidth="1"/>
    <col min="562" max="562" width="20.453125" bestFit="1" customWidth="1"/>
    <col min="563" max="563" width="14.7265625" bestFit="1" customWidth="1"/>
    <col min="564" max="564" width="20.453125" bestFit="1" customWidth="1"/>
    <col min="565" max="565" width="14.7265625" bestFit="1" customWidth="1"/>
    <col min="566" max="566" width="17.81640625" bestFit="1" customWidth="1"/>
    <col min="567" max="567" width="14.7265625" bestFit="1" customWidth="1"/>
    <col min="568" max="568" width="20.453125" bestFit="1" customWidth="1"/>
    <col min="569" max="569" width="14.7265625" bestFit="1" customWidth="1"/>
    <col min="570" max="570" width="20.453125" bestFit="1" customWidth="1"/>
    <col min="571" max="571" width="14.7265625" bestFit="1" customWidth="1"/>
    <col min="572" max="572" width="20.453125" bestFit="1" customWidth="1"/>
    <col min="573" max="573" width="14.7265625" bestFit="1" customWidth="1"/>
    <col min="574" max="574" width="20.453125" bestFit="1" customWidth="1"/>
    <col min="575" max="575" width="14.7265625" bestFit="1" customWidth="1"/>
    <col min="576" max="576" width="20.453125" bestFit="1" customWidth="1"/>
    <col min="577" max="577" width="14.7265625" bestFit="1" customWidth="1"/>
    <col min="578" max="578" width="20.453125" bestFit="1" customWidth="1"/>
    <col min="579" max="579" width="14.7265625" bestFit="1" customWidth="1"/>
    <col min="580" max="580" width="20.453125" bestFit="1" customWidth="1"/>
    <col min="581" max="581" width="14.7265625" bestFit="1" customWidth="1"/>
    <col min="582" max="582" width="20.453125" bestFit="1" customWidth="1"/>
    <col min="583" max="583" width="14.7265625" bestFit="1" customWidth="1"/>
    <col min="584" max="584" width="20.453125" bestFit="1" customWidth="1"/>
    <col min="585" max="585" width="14.7265625" bestFit="1" customWidth="1"/>
    <col min="586" max="586" width="20.453125" bestFit="1" customWidth="1"/>
    <col min="587" max="587" width="14.7265625" bestFit="1" customWidth="1"/>
    <col min="588" max="588" width="20.453125" bestFit="1" customWidth="1"/>
    <col min="589" max="589" width="14.7265625" bestFit="1" customWidth="1"/>
    <col min="590" max="590" width="20.453125" bestFit="1" customWidth="1"/>
    <col min="591" max="591" width="14.7265625" bestFit="1" customWidth="1"/>
    <col min="592" max="592" width="20.453125" bestFit="1" customWidth="1"/>
    <col min="593" max="593" width="14.7265625" bestFit="1" customWidth="1"/>
    <col min="594" max="594" width="20.453125" bestFit="1" customWidth="1"/>
    <col min="595" max="595" width="14.7265625" bestFit="1" customWidth="1"/>
    <col min="596" max="596" width="20.453125" bestFit="1" customWidth="1"/>
    <col min="597" max="597" width="14.7265625" bestFit="1" customWidth="1"/>
    <col min="598" max="598" width="20.453125" bestFit="1" customWidth="1"/>
    <col min="599" max="599" width="14.7265625" bestFit="1" customWidth="1"/>
    <col min="600" max="600" width="20.453125" bestFit="1" customWidth="1"/>
    <col min="601" max="601" width="14.7265625" bestFit="1" customWidth="1"/>
    <col min="602" max="602" width="20.453125" bestFit="1" customWidth="1"/>
    <col min="603" max="603" width="14.7265625" bestFit="1" customWidth="1"/>
    <col min="604" max="604" width="20.453125" bestFit="1" customWidth="1"/>
    <col min="605" max="605" width="14.7265625" bestFit="1" customWidth="1"/>
    <col min="606" max="606" width="20.453125" bestFit="1" customWidth="1"/>
    <col min="607" max="607" width="14.7265625" bestFit="1" customWidth="1"/>
    <col min="608" max="608" width="20.453125" bestFit="1" customWidth="1"/>
    <col min="609" max="609" width="14.7265625" bestFit="1" customWidth="1"/>
    <col min="610" max="610" width="20.453125" bestFit="1" customWidth="1"/>
    <col min="611" max="611" width="14.7265625" bestFit="1" customWidth="1"/>
    <col min="612" max="612" width="17.81640625" bestFit="1" customWidth="1"/>
    <col min="613" max="613" width="14.7265625" bestFit="1" customWidth="1"/>
    <col min="614" max="614" width="20.453125" bestFit="1" customWidth="1"/>
    <col min="615" max="615" width="14.7265625" bestFit="1" customWidth="1"/>
    <col min="616" max="616" width="20.453125" bestFit="1" customWidth="1"/>
    <col min="617" max="617" width="14.7265625" bestFit="1" customWidth="1"/>
    <col min="618" max="618" width="20.453125" bestFit="1" customWidth="1"/>
    <col min="619" max="619" width="14.7265625" bestFit="1" customWidth="1"/>
    <col min="620" max="620" width="20.453125" bestFit="1" customWidth="1"/>
    <col min="621" max="621" width="14.7265625" bestFit="1" customWidth="1"/>
    <col min="622" max="622" width="20.453125" bestFit="1" customWidth="1"/>
    <col min="623" max="623" width="14.7265625" bestFit="1" customWidth="1"/>
    <col min="624" max="624" width="20.453125" bestFit="1" customWidth="1"/>
    <col min="625" max="625" width="14.7265625" bestFit="1" customWidth="1"/>
    <col min="626" max="626" width="20.453125" bestFit="1" customWidth="1"/>
    <col min="627" max="627" width="14.7265625" bestFit="1" customWidth="1"/>
    <col min="628" max="628" width="20.453125" bestFit="1" customWidth="1"/>
    <col min="629" max="629" width="14.7265625" bestFit="1" customWidth="1"/>
    <col min="630" max="630" width="20.453125" bestFit="1" customWidth="1"/>
    <col min="631" max="631" width="14.7265625" bestFit="1" customWidth="1"/>
    <col min="632" max="632" width="20.453125" bestFit="1" customWidth="1"/>
    <col min="633" max="633" width="14.7265625" bestFit="1" customWidth="1"/>
    <col min="634" max="634" width="20.453125" bestFit="1" customWidth="1"/>
    <col min="635" max="635" width="14.7265625" bestFit="1" customWidth="1"/>
    <col min="636" max="636" width="20.453125" bestFit="1" customWidth="1"/>
    <col min="637" max="637" width="14.7265625" bestFit="1" customWidth="1"/>
    <col min="638" max="638" width="20.453125" bestFit="1" customWidth="1"/>
    <col min="639" max="639" width="14.7265625" bestFit="1" customWidth="1"/>
    <col min="640" max="640" width="20.453125" bestFit="1" customWidth="1"/>
    <col min="641" max="641" width="14.7265625" bestFit="1" customWidth="1"/>
    <col min="642" max="642" width="20.453125" bestFit="1" customWidth="1"/>
    <col min="643" max="643" width="14.7265625" bestFit="1" customWidth="1"/>
    <col min="644" max="644" width="20.453125" bestFit="1" customWidth="1"/>
    <col min="645" max="645" width="14.7265625" bestFit="1" customWidth="1"/>
    <col min="646" max="646" width="20.453125" bestFit="1" customWidth="1"/>
    <col min="647" max="647" width="14.7265625" bestFit="1" customWidth="1"/>
    <col min="648" max="648" width="20.453125" bestFit="1" customWidth="1"/>
    <col min="649" max="649" width="14.7265625" bestFit="1" customWidth="1"/>
    <col min="650" max="650" width="20.453125" bestFit="1" customWidth="1"/>
    <col min="651" max="651" width="14.7265625" bestFit="1" customWidth="1"/>
    <col min="652" max="652" width="20.453125" bestFit="1" customWidth="1"/>
    <col min="653" max="653" width="14.7265625" bestFit="1" customWidth="1"/>
    <col min="654" max="654" width="20.453125" bestFit="1" customWidth="1"/>
    <col min="655" max="655" width="14.7265625" bestFit="1" customWidth="1"/>
    <col min="656" max="656" width="20.453125" bestFit="1" customWidth="1"/>
    <col min="657" max="657" width="14.7265625" bestFit="1" customWidth="1"/>
    <col min="658" max="658" width="20.453125" bestFit="1" customWidth="1"/>
    <col min="659" max="659" width="14.7265625" bestFit="1" customWidth="1"/>
    <col min="660" max="660" width="20.453125" bestFit="1" customWidth="1"/>
    <col min="661" max="661" width="14.7265625" bestFit="1" customWidth="1"/>
    <col min="662" max="662" width="20.453125" bestFit="1" customWidth="1"/>
    <col min="663" max="663" width="14.7265625" bestFit="1" customWidth="1"/>
    <col min="664" max="664" width="20.453125" bestFit="1" customWidth="1"/>
    <col min="665" max="665" width="14.7265625" bestFit="1" customWidth="1"/>
    <col min="666" max="666" width="20.453125" bestFit="1" customWidth="1"/>
    <col min="667" max="667" width="14.7265625" bestFit="1" customWidth="1"/>
    <col min="668" max="668" width="20.453125" bestFit="1" customWidth="1"/>
    <col min="669" max="669" width="14.7265625" bestFit="1" customWidth="1"/>
    <col min="670" max="670" width="20.453125" bestFit="1" customWidth="1"/>
    <col min="671" max="671" width="14.7265625" bestFit="1" customWidth="1"/>
    <col min="672" max="672" width="20.453125" bestFit="1" customWidth="1"/>
    <col min="673" max="673" width="14.7265625" bestFit="1" customWidth="1"/>
    <col min="674" max="674" width="20.453125" bestFit="1" customWidth="1"/>
    <col min="675" max="675" width="14.7265625" bestFit="1" customWidth="1"/>
    <col min="676" max="676" width="20.453125" bestFit="1" customWidth="1"/>
    <col min="677" max="677" width="14.7265625" bestFit="1" customWidth="1"/>
    <col min="678" max="678" width="20.453125" bestFit="1" customWidth="1"/>
    <col min="679" max="679" width="14.7265625" bestFit="1" customWidth="1"/>
    <col min="680" max="680" width="20.453125" bestFit="1" customWidth="1"/>
    <col min="681" max="681" width="14.7265625" bestFit="1" customWidth="1"/>
    <col min="682" max="682" width="17.81640625" bestFit="1" customWidth="1"/>
    <col min="683" max="683" width="14.7265625" bestFit="1" customWidth="1"/>
    <col min="684" max="684" width="20.453125" bestFit="1" customWidth="1"/>
    <col min="685" max="685" width="14.7265625" bestFit="1" customWidth="1"/>
    <col min="686" max="686" width="20.453125" bestFit="1" customWidth="1"/>
    <col min="687" max="687" width="14.7265625" bestFit="1" customWidth="1"/>
    <col min="688" max="688" width="20.453125" bestFit="1" customWidth="1"/>
    <col min="689" max="689" width="14.7265625" bestFit="1" customWidth="1"/>
    <col min="690" max="690" width="20.453125" bestFit="1" customWidth="1"/>
    <col min="691" max="691" width="14.7265625" bestFit="1" customWidth="1"/>
    <col min="692" max="692" width="20.453125" bestFit="1" customWidth="1"/>
    <col min="693" max="693" width="14.7265625" bestFit="1" customWidth="1"/>
    <col min="694" max="694" width="20.453125" bestFit="1" customWidth="1"/>
    <col min="695" max="695" width="14.7265625" bestFit="1" customWidth="1"/>
    <col min="696" max="696" width="20.453125" bestFit="1" customWidth="1"/>
    <col min="697" max="697" width="14.7265625" bestFit="1" customWidth="1"/>
    <col min="698" max="698" width="20.453125" bestFit="1" customWidth="1"/>
    <col min="699" max="699" width="14.7265625" bestFit="1" customWidth="1"/>
    <col min="700" max="700" width="20.453125" bestFit="1" customWidth="1"/>
    <col min="701" max="701" width="14.7265625" bestFit="1" customWidth="1"/>
    <col min="702" max="702" width="20.453125" bestFit="1" customWidth="1"/>
    <col min="703" max="703" width="14.7265625" bestFit="1" customWidth="1"/>
    <col min="704" max="704" width="20.453125" bestFit="1" customWidth="1"/>
    <col min="705" max="705" width="14.7265625" bestFit="1" customWidth="1"/>
    <col min="706" max="706" width="20.453125" bestFit="1" customWidth="1"/>
    <col min="707" max="707" width="14.7265625" bestFit="1" customWidth="1"/>
    <col min="708" max="708" width="20.453125" bestFit="1" customWidth="1"/>
    <col min="709" max="709" width="14.7265625" bestFit="1" customWidth="1"/>
    <col min="710" max="710" width="20.453125" bestFit="1" customWidth="1"/>
    <col min="711" max="711" width="14.7265625" bestFit="1" customWidth="1"/>
    <col min="712" max="712" width="20.453125" bestFit="1" customWidth="1"/>
    <col min="713" max="713" width="14.7265625" bestFit="1" customWidth="1"/>
    <col min="714" max="714" width="20.453125" bestFit="1" customWidth="1"/>
    <col min="715" max="715" width="14.7265625" bestFit="1" customWidth="1"/>
    <col min="716" max="716" width="20.453125" bestFit="1" customWidth="1"/>
    <col min="717" max="717" width="14.7265625" bestFit="1" customWidth="1"/>
    <col min="718" max="718" width="20.453125" bestFit="1" customWidth="1"/>
    <col min="719" max="719" width="14.7265625" bestFit="1" customWidth="1"/>
    <col min="720" max="720" width="20.453125" bestFit="1" customWidth="1"/>
    <col min="721" max="721" width="14.7265625" bestFit="1" customWidth="1"/>
    <col min="722" max="722" width="20.453125" bestFit="1" customWidth="1"/>
    <col min="723" max="723" width="14.7265625" bestFit="1" customWidth="1"/>
    <col min="724" max="724" width="20.453125" bestFit="1" customWidth="1"/>
    <col min="725" max="725" width="14.7265625" bestFit="1" customWidth="1"/>
    <col min="726" max="726" width="20.453125" bestFit="1" customWidth="1"/>
    <col min="727" max="727" width="14.7265625" bestFit="1" customWidth="1"/>
    <col min="728" max="728" width="20.453125" bestFit="1" customWidth="1"/>
    <col min="729" max="729" width="14.7265625" bestFit="1" customWidth="1"/>
    <col min="730" max="730" width="20.453125" bestFit="1" customWidth="1"/>
    <col min="731" max="731" width="15.7265625" bestFit="1" customWidth="1"/>
    <col min="732" max="732" width="20.453125" bestFit="1" customWidth="1"/>
    <col min="733" max="733" width="15.7265625" bestFit="1" customWidth="1"/>
    <col min="734" max="734" width="20.453125" bestFit="1" customWidth="1"/>
    <col min="735" max="735" width="15.7265625" bestFit="1" customWidth="1"/>
    <col min="736" max="736" width="20.453125" bestFit="1" customWidth="1"/>
    <col min="737" max="737" width="15.7265625" bestFit="1" customWidth="1"/>
    <col min="738" max="738" width="20.453125" bestFit="1" customWidth="1"/>
    <col min="739" max="739" width="15.7265625" bestFit="1" customWidth="1"/>
    <col min="740" max="740" width="20.453125" bestFit="1" customWidth="1"/>
    <col min="741" max="741" width="15.7265625" bestFit="1" customWidth="1"/>
    <col min="742" max="742" width="20.453125" bestFit="1" customWidth="1"/>
    <col min="743" max="743" width="15.7265625" bestFit="1" customWidth="1"/>
    <col min="744" max="744" width="20.453125" bestFit="1" customWidth="1"/>
    <col min="745" max="745" width="15.7265625" bestFit="1" customWidth="1"/>
    <col min="746" max="746" width="17.81640625" bestFit="1" customWidth="1"/>
    <col min="747" max="747" width="15.7265625" bestFit="1" customWidth="1"/>
    <col min="748" max="748" width="20.453125" bestFit="1" customWidth="1"/>
    <col min="749" max="749" width="15.7265625" bestFit="1" customWidth="1"/>
    <col min="750" max="750" width="20.453125" bestFit="1" customWidth="1"/>
    <col min="751" max="751" width="15.7265625" bestFit="1" customWidth="1"/>
    <col min="752" max="752" width="20.453125" bestFit="1" customWidth="1"/>
    <col min="753" max="753" width="15.7265625" bestFit="1" customWidth="1"/>
    <col min="754" max="754" width="20.453125" bestFit="1" customWidth="1"/>
    <col min="755" max="755" width="15.7265625" bestFit="1" customWidth="1"/>
    <col min="756" max="756" width="17.81640625" bestFit="1" customWidth="1"/>
    <col min="757" max="757" width="15.7265625" bestFit="1" customWidth="1"/>
    <col min="758" max="758" width="20.453125" bestFit="1" customWidth="1"/>
    <col min="759" max="759" width="15.7265625" bestFit="1" customWidth="1"/>
    <col min="760" max="760" width="20.453125" bestFit="1" customWidth="1"/>
    <col min="761" max="761" width="15.7265625" bestFit="1" customWidth="1"/>
    <col min="762" max="762" width="20.453125" bestFit="1" customWidth="1"/>
    <col min="763" max="763" width="15.7265625" bestFit="1" customWidth="1"/>
    <col min="764" max="764" width="20.453125" bestFit="1" customWidth="1"/>
    <col min="765" max="765" width="15.7265625" bestFit="1" customWidth="1"/>
    <col min="766" max="766" width="20.453125" bestFit="1" customWidth="1"/>
    <col min="767" max="767" width="15.7265625" bestFit="1" customWidth="1"/>
    <col min="768" max="768" width="20.453125" bestFit="1" customWidth="1"/>
    <col min="769" max="769" width="15.7265625" bestFit="1" customWidth="1"/>
    <col min="770" max="770" width="20.453125" bestFit="1" customWidth="1"/>
    <col min="771" max="771" width="15.7265625" bestFit="1" customWidth="1"/>
    <col min="772" max="772" width="20.453125" bestFit="1" customWidth="1"/>
    <col min="773" max="773" width="15.7265625" bestFit="1" customWidth="1"/>
    <col min="774" max="774" width="20.453125" bestFit="1" customWidth="1"/>
    <col min="775" max="775" width="15.7265625" bestFit="1" customWidth="1"/>
    <col min="776" max="776" width="20.453125" bestFit="1" customWidth="1"/>
    <col min="777" max="777" width="15.7265625" bestFit="1" customWidth="1"/>
    <col min="778" max="778" width="20.453125" bestFit="1" customWidth="1"/>
    <col min="779" max="779" width="15.7265625" bestFit="1" customWidth="1"/>
    <col min="780" max="780" width="20.453125" bestFit="1" customWidth="1"/>
    <col min="781" max="781" width="15.7265625" bestFit="1" customWidth="1"/>
    <col min="782" max="782" width="20.453125" bestFit="1" customWidth="1"/>
    <col min="783" max="783" width="15.7265625" bestFit="1" customWidth="1"/>
    <col min="784" max="784" width="20.453125" bestFit="1" customWidth="1"/>
    <col min="785" max="785" width="15.7265625" bestFit="1" customWidth="1"/>
    <col min="786" max="786" width="20.453125" bestFit="1" customWidth="1"/>
    <col min="787" max="787" width="15.7265625" bestFit="1" customWidth="1"/>
    <col min="788" max="788" width="20.453125" bestFit="1" customWidth="1"/>
    <col min="789" max="789" width="15.7265625" bestFit="1" customWidth="1"/>
    <col min="790" max="790" width="20.453125" bestFit="1" customWidth="1"/>
    <col min="791" max="791" width="15.7265625" bestFit="1" customWidth="1"/>
    <col min="792" max="792" width="20.453125" bestFit="1" customWidth="1"/>
    <col min="793" max="793" width="15.7265625" bestFit="1" customWidth="1"/>
    <col min="794" max="794" width="20.453125" bestFit="1" customWidth="1"/>
    <col min="795" max="795" width="15.7265625" bestFit="1" customWidth="1"/>
    <col min="796" max="796" width="20.453125" bestFit="1" customWidth="1"/>
    <col min="797" max="797" width="15.7265625" bestFit="1" customWidth="1"/>
    <col min="798" max="798" width="20.453125" bestFit="1" customWidth="1"/>
    <col min="799" max="799" width="15.7265625" bestFit="1" customWidth="1"/>
    <col min="800" max="800" width="20.453125" bestFit="1" customWidth="1"/>
    <col min="801" max="801" width="15.7265625" bestFit="1" customWidth="1"/>
    <col min="802" max="802" width="20.453125" bestFit="1" customWidth="1"/>
    <col min="803" max="803" width="15.7265625" bestFit="1" customWidth="1"/>
    <col min="804" max="804" width="20.453125" bestFit="1" customWidth="1"/>
    <col min="805" max="805" width="15.7265625" bestFit="1" customWidth="1"/>
    <col min="806" max="806" width="20.453125" bestFit="1" customWidth="1"/>
    <col min="807" max="807" width="15.7265625" bestFit="1" customWidth="1"/>
    <col min="808" max="808" width="20.453125" bestFit="1" customWidth="1"/>
    <col min="809" max="809" width="15.7265625" bestFit="1" customWidth="1"/>
    <col min="810" max="810" width="20.453125" bestFit="1" customWidth="1"/>
    <col min="811" max="811" width="15.7265625" bestFit="1" customWidth="1"/>
    <col min="812" max="812" width="20.453125" bestFit="1" customWidth="1"/>
    <col min="813" max="813" width="15.7265625" bestFit="1" customWidth="1"/>
    <col min="814" max="814" width="20.453125" bestFit="1" customWidth="1"/>
    <col min="815" max="815" width="15.7265625" bestFit="1" customWidth="1"/>
    <col min="816" max="816" width="20.453125" bestFit="1" customWidth="1"/>
    <col min="817" max="817" width="15.7265625" bestFit="1" customWidth="1"/>
    <col min="818" max="818" width="20.453125" bestFit="1" customWidth="1"/>
    <col min="819" max="819" width="15.7265625" bestFit="1" customWidth="1"/>
    <col min="820" max="820" width="20.453125" bestFit="1" customWidth="1"/>
    <col min="821" max="821" width="15.7265625" bestFit="1" customWidth="1"/>
    <col min="822" max="822" width="20.453125" bestFit="1" customWidth="1"/>
    <col min="823" max="823" width="15.7265625" bestFit="1" customWidth="1"/>
    <col min="824" max="824" width="20.453125" bestFit="1" customWidth="1"/>
    <col min="825" max="825" width="15.7265625" bestFit="1" customWidth="1"/>
    <col min="826" max="826" width="20.453125" bestFit="1" customWidth="1"/>
    <col min="827" max="827" width="15.7265625" bestFit="1" customWidth="1"/>
    <col min="828" max="828" width="20.453125" bestFit="1" customWidth="1"/>
    <col min="829" max="829" width="15.7265625" bestFit="1" customWidth="1"/>
    <col min="830" max="830" width="20.453125" bestFit="1" customWidth="1"/>
    <col min="831" max="831" width="15.7265625" bestFit="1" customWidth="1"/>
    <col min="832" max="832" width="20.453125" bestFit="1" customWidth="1"/>
    <col min="833" max="833" width="15.7265625" bestFit="1" customWidth="1"/>
    <col min="834" max="834" width="20.453125" bestFit="1" customWidth="1"/>
    <col min="835" max="835" width="15.7265625" bestFit="1" customWidth="1"/>
    <col min="836" max="836" width="20.453125" bestFit="1" customWidth="1"/>
    <col min="837" max="837" width="15.7265625" bestFit="1" customWidth="1"/>
    <col min="838" max="838" width="20.453125" bestFit="1" customWidth="1"/>
    <col min="839" max="839" width="15.7265625" bestFit="1" customWidth="1"/>
    <col min="840" max="840" width="20.453125" bestFit="1" customWidth="1"/>
    <col min="841" max="841" width="15.7265625" bestFit="1" customWidth="1"/>
    <col min="842" max="842" width="20.453125" bestFit="1" customWidth="1"/>
    <col min="843" max="843" width="15.7265625" bestFit="1" customWidth="1"/>
    <col min="844" max="844" width="20.453125" bestFit="1" customWidth="1"/>
    <col min="845" max="845" width="15.7265625" bestFit="1" customWidth="1"/>
    <col min="846" max="846" width="20.453125" bestFit="1" customWidth="1"/>
    <col min="847" max="847" width="15.7265625" bestFit="1" customWidth="1"/>
    <col min="848" max="848" width="20.453125" bestFit="1" customWidth="1"/>
    <col min="849" max="849" width="15.7265625" bestFit="1" customWidth="1"/>
    <col min="850" max="850" width="20.453125" bestFit="1" customWidth="1"/>
    <col min="851" max="851" width="15.7265625" bestFit="1" customWidth="1"/>
    <col min="852" max="852" width="20.453125" bestFit="1" customWidth="1"/>
    <col min="853" max="853" width="15.7265625" bestFit="1" customWidth="1"/>
    <col min="854" max="854" width="20.453125" bestFit="1" customWidth="1"/>
    <col min="855" max="855" width="15.7265625" bestFit="1" customWidth="1"/>
    <col min="856" max="856" width="20.453125" bestFit="1" customWidth="1"/>
    <col min="857" max="857" width="15.7265625" bestFit="1" customWidth="1"/>
    <col min="858" max="858" width="20.453125" bestFit="1" customWidth="1"/>
    <col min="859" max="859" width="15.7265625" bestFit="1" customWidth="1"/>
    <col min="860" max="860" width="20.453125" bestFit="1" customWidth="1"/>
    <col min="861" max="861" width="15.7265625" bestFit="1" customWidth="1"/>
    <col min="862" max="862" width="20.453125" bestFit="1" customWidth="1"/>
    <col min="863" max="863" width="15.7265625" bestFit="1" customWidth="1"/>
    <col min="864" max="864" width="20.453125" bestFit="1" customWidth="1"/>
    <col min="865" max="865" width="15.7265625" bestFit="1" customWidth="1"/>
    <col min="866" max="866" width="20.453125" bestFit="1" customWidth="1"/>
    <col min="867" max="867" width="15.7265625" bestFit="1" customWidth="1"/>
    <col min="868" max="868" width="20.453125" bestFit="1" customWidth="1"/>
    <col min="869" max="869" width="15.7265625" bestFit="1" customWidth="1"/>
    <col min="870" max="870" width="20.453125" bestFit="1" customWidth="1"/>
    <col min="871" max="871" width="15.7265625" bestFit="1" customWidth="1"/>
    <col min="872" max="872" width="20.453125" bestFit="1" customWidth="1"/>
    <col min="873" max="873" width="15.7265625" bestFit="1" customWidth="1"/>
    <col min="874" max="874" width="20.453125" bestFit="1" customWidth="1"/>
    <col min="875" max="875" width="15.7265625" bestFit="1" customWidth="1"/>
    <col min="876" max="876" width="20.453125" bestFit="1" customWidth="1"/>
    <col min="877" max="877" width="15.7265625" bestFit="1" customWidth="1"/>
    <col min="878" max="878" width="20.453125" bestFit="1" customWidth="1"/>
    <col min="879" max="879" width="15.7265625" bestFit="1" customWidth="1"/>
    <col min="880" max="880" width="20.453125" bestFit="1" customWidth="1"/>
    <col min="881" max="881" width="15.7265625" bestFit="1" customWidth="1"/>
    <col min="882" max="882" width="20.453125" bestFit="1" customWidth="1"/>
    <col min="883" max="883" width="15.7265625" bestFit="1" customWidth="1"/>
    <col min="884" max="884" width="20.453125" bestFit="1" customWidth="1"/>
    <col min="885" max="885" width="15.7265625" bestFit="1" customWidth="1"/>
    <col min="886" max="886" width="17.81640625" bestFit="1" customWidth="1"/>
    <col min="887" max="887" width="15.7265625" bestFit="1" customWidth="1"/>
    <col min="888" max="888" width="20.453125" bestFit="1" customWidth="1"/>
    <col min="889" max="889" width="15.7265625" bestFit="1" customWidth="1"/>
    <col min="890" max="890" width="20.453125" bestFit="1" customWidth="1"/>
    <col min="891" max="891" width="15.7265625" bestFit="1" customWidth="1"/>
    <col min="892" max="892" width="20.453125" bestFit="1" customWidth="1"/>
    <col min="893" max="893" width="15.7265625" bestFit="1" customWidth="1"/>
    <col min="894" max="894" width="20.453125" bestFit="1" customWidth="1"/>
    <col min="895" max="895" width="15.7265625" bestFit="1" customWidth="1"/>
    <col min="896" max="896" width="20.453125" bestFit="1" customWidth="1"/>
    <col min="897" max="897" width="15.7265625" bestFit="1" customWidth="1"/>
    <col min="898" max="898" width="20.453125" bestFit="1" customWidth="1"/>
    <col min="899" max="899" width="15.7265625" bestFit="1" customWidth="1"/>
    <col min="900" max="900" width="20.453125" bestFit="1" customWidth="1"/>
    <col min="901" max="901" width="15.7265625" bestFit="1" customWidth="1"/>
    <col min="902" max="902" width="20.453125" bestFit="1" customWidth="1"/>
    <col min="903" max="903" width="15.7265625" bestFit="1" customWidth="1"/>
    <col min="904" max="904" width="20.453125" bestFit="1" customWidth="1"/>
    <col min="905" max="905" width="15.7265625" bestFit="1" customWidth="1"/>
    <col min="906" max="906" width="20.453125" bestFit="1" customWidth="1"/>
    <col min="907" max="907" width="15.7265625" bestFit="1" customWidth="1"/>
    <col min="908" max="908" width="20.453125" bestFit="1" customWidth="1"/>
    <col min="909" max="909" width="15.7265625" bestFit="1" customWidth="1"/>
    <col min="910" max="910" width="20.453125" bestFit="1" customWidth="1"/>
    <col min="911" max="911" width="15.7265625" bestFit="1" customWidth="1"/>
    <col min="912" max="912" width="20.453125" bestFit="1" customWidth="1"/>
    <col min="913" max="913" width="15.7265625" bestFit="1" customWidth="1"/>
    <col min="914" max="914" width="20.453125" bestFit="1" customWidth="1"/>
    <col min="915" max="915" width="15.7265625" bestFit="1" customWidth="1"/>
    <col min="916" max="916" width="20.453125" bestFit="1" customWidth="1"/>
    <col min="917" max="917" width="15.7265625" bestFit="1" customWidth="1"/>
    <col min="918" max="918" width="20.453125" bestFit="1" customWidth="1"/>
    <col min="919" max="919" width="15.7265625" bestFit="1" customWidth="1"/>
    <col min="920" max="920" width="20.453125" bestFit="1" customWidth="1"/>
    <col min="921" max="921" width="15.7265625" bestFit="1" customWidth="1"/>
    <col min="922" max="922" width="20.453125" bestFit="1" customWidth="1"/>
    <col min="923" max="923" width="15.7265625" bestFit="1" customWidth="1"/>
    <col min="924" max="924" width="20.453125" bestFit="1" customWidth="1"/>
    <col min="925" max="925" width="15.7265625" bestFit="1" customWidth="1"/>
    <col min="926" max="926" width="20.453125" bestFit="1" customWidth="1"/>
    <col min="927" max="927" width="15.7265625" bestFit="1" customWidth="1"/>
    <col min="928" max="928" width="20.453125" bestFit="1" customWidth="1"/>
    <col min="929" max="929" width="15.7265625" bestFit="1" customWidth="1"/>
    <col min="930" max="930" width="20.453125" bestFit="1" customWidth="1"/>
    <col min="931" max="931" width="15.7265625" bestFit="1" customWidth="1"/>
    <col min="932" max="932" width="20.453125" bestFit="1" customWidth="1"/>
    <col min="933" max="933" width="15.7265625" bestFit="1" customWidth="1"/>
    <col min="934" max="934" width="20.453125" bestFit="1" customWidth="1"/>
    <col min="935" max="935" width="15.7265625" bestFit="1" customWidth="1"/>
    <col min="936" max="936" width="20.453125" bestFit="1" customWidth="1"/>
    <col min="937" max="937" width="15.7265625" bestFit="1" customWidth="1"/>
    <col min="938" max="938" width="20.453125" bestFit="1" customWidth="1"/>
    <col min="939" max="939" width="15.7265625" bestFit="1" customWidth="1"/>
    <col min="940" max="940" width="20.453125" bestFit="1" customWidth="1"/>
    <col min="941" max="941" width="15.7265625" bestFit="1" customWidth="1"/>
    <col min="942" max="942" width="20.453125" bestFit="1" customWidth="1"/>
    <col min="943" max="943" width="15.7265625" bestFit="1" customWidth="1"/>
    <col min="944" max="944" width="20.453125" bestFit="1" customWidth="1"/>
    <col min="945" max="945" width="15.7265625" bestFit="1" customWidth="1"/>
    <col min="946" max="946" width="20.453125" bestFit="1" customWidth="1"/>
    <col min="947" max="947" width="15.7265625" bestFit="1" customWidth="1"/>
    <col min="948" max="948" width="20.453125" bestFit="1" customWidth="1"/>
    <col min="949" max="949" width="15.7265625" bestFit="1" customWidth="1"/>
    <col min="950" max="950" width="20.453125" bestFit="1" customWidth="1"/>
    <col min="951" max="951" width="15.7265625" bestFit="1" customWidth="1"/>
    <col min="952" max="952" width="20.453125" bestFit="1" customWidth="1"/>
    <col min="953" max="953" width="15.7265625" bestFit="1" customWidth="1"/>
    <col min="954" max="954" width="20.453125" bestFit="1" customWidth="1"/>
    <col min="955" max="955" width="15.7265625" bestFit="1" customWidth="1"/>
    <col min="956" max="956" width="17.81640625" bestFit="1" customWidth="1"/>
    <col min="957" max="957" width="15.7265625" bestFit="1" customWidth="1"/>
    <col min="958" max="958" width="20.453125" bestFit="1" customWidth="1"/>
    <col min="959" max="959" width="15.7265625" bestFit="1" customWidth="1"/>
    <col min="960" max="960" width="20.453125" bestFit="1" customWidth="1"/>
    <col min="961" max="961" width="15.7265625" bestFit="1" customWidth="1"/>
    <col min="962" max="962" width="20.453125" bestFit="1" customWidth="1"/>
    <col min="963" max="963" width="15.7265625" bestFit="1" customWidth="1"/>
    <col min="964" max="964" width="20.453125" bestFit="1" customWidth="1"/>
    <col min="965" max="965" width="15.7265625" bestFit="1" customWidth="1"/>
    <col min="966" max="966" width="20.453125" bestFit="1" customWidth="1"/>
    <col min="967" max="967" width="15.7265625" bestFit="1" customWidth="1"/>
    <col min="968" max="968" width="20.453125" bestFit="1" customWidth="1"/>
    <col min="969" max="969" width="15.7265625" bestFit="1" customWidth="1"/>
    <col min="970" max="970" width="20.453125" bestFit="1" customWidth="1"/>
    <col min="971" max="971" width="15.7265625" bestFit="1" customWidth="1"/>
    <col min="972" max="972" width="20.453125" bestFit="1" customWidth="1"/>
    <col min="973" max="973" width="15.7265625" bestFit="1" customWidth="1"/>
    <col min="974" max="974" width="20.453125" bestFit="1" customWidth="1"/>
    <col min="975" max="975" width="15.7265625" bestFit="1" customWidth="1"/>
    <col min="976" max="976" width="20.453125" bestFit="1" customWidth="1"/>
    <col min="977" max="977" width="15.7265625" bestFit="1" customWidth="1"/>
    <col min="978" max="978" width="20.453125" bestFit="1" customWidth="1"/>
    <col min="979" max="979" width="15.7265625" bestFit="1" customWidth="1"/>
    <col min="980" max="980" width="20.453125" bestFit="1" customWidth="1"/>
    <col min="981" max="981" width="15.7265625" bestFit="1" customWidth="1"/>
    <col min="982" max="982" width="20.453125" bestFit="1" customWidth="1"/>
    <col min="983" max="983" width="15.7265625" bestFit="1" customWidth="1"/>
    <col min="984" max="984" width="20.453125" bestFit="1" customWidth="1"/>
    <col min="985" max="985" width="15.7265625" bestFit="1" customWidth="1"/>
    <col min="986" max="986" width="20.453125" bestFit="1" customWidth="1"/>
    <col min="987" max="987" width="15.7265625" bestFit="1" customWidth="1"/>
    <col min="988" max="988" width="20.453125" bestFit="1" customWidth="1"/>
    <col min="989" max="989" width="15.7265625" bestFit="1" customWidth="1"/>
    <col min="990" max="990" width="20.453125" bestFit="1" customWidth="1"/>
    <col min="991" max="991" width="15.7265625" bestFit="1" customWidth="1"/>
    <col min="992" max="992" width="20.453125" bestFit="1" customWidth="1"/>
    <col min="993" max="993" width="15.7265625" bestFit="1" customWidth="1"/>
    <col min="994" max="994" width="20.453125" bestFit="1" customWidth="1"/>
    <col min="995" max="995" width="15.7265625" bestFit="1" customWidth="1"/>
    <col min="996" max="996" width="20.453125" bestFit="1" customWidth="1"/>
    <col min="997" max="997" width="15.7265625" bestFit="1" customWidth="1"/>
    <col min="998" max="998" width="20.453125" bestFit="1" customWidth="1"/>
    <col min="999" max="999" width="15.7265625" bestFit="1" customWidth="1"/>
    <col min="1000" max="1000" width="20.453125" bestFit="1" customWidth="1"/>
    <col min="1001" max="1001" width="15.7265625" bestFit="1" customWidth="1"/>
    <col min="1002" max="1002" width="20.453125" bestFit="1" customWidth="1"/>
    <col min="1003" max="1003" width="15.7265625" bestFit="1" customWidth="1"/>
    <col min="1004" max="1004" width="20.453125" bestFit="1" customWidth="1"/>
    <col min="1005" max="1005" width="15.7265625" bestFit="1" customWidth="1"/>
    <col min="1006" max="1006" width="20.453125" bestFit="1" customWidth="1"/>
    <col min="1007" max="1007" width="15.7265625" bestFit="1" customWidth="1"/>
    <col min="1008" max="1008" width="20.453125" bestFit="1" customWidth="1"/>
    <col min="1009" max="1009" width="15.7265625" bestFit="1" customWidth="1"/>
    <col min="1010" max="1010" width="11.81640625" bestFit="1" customWidth="1"/>
  </cols>
  <sheetData>
    <row r="1" spans="1:8" ht="18.5" x14ac:dyDescent="0.45">
      <c r="A1" s="33" t="s">
        <v>65</v>
      </c>
    </row>
    <row r="2" spans="1:8" x14ac:dyDescent="0.35">
      <c r="A2" s="34"/>
    </row>
    <row r="3" spans="1:8" x14ac:dyDescent="0.35">
      <c r="A3" s="35" t="s">
        <v>27</v>
      </c>
    </row>
    <row r="4" spans="1:8" ht="29" x14ac:dyDescent="0.35">
      <c r="A4" s="26" t="s">
        <v>63</v>
      </c>
      <c r="B4" s="38" t="s">
        <v>64</v>
      </c>
    </row>
    <row r="5" spans="1:8" ht="29" x14ac:dyDescent="0.35">
      <c r="A5" s="26" t="s">
        <v>62</v>
      </c>
      <c r="B5" s="36" t="s">
        <v>54</v>
      </c>
      <c r="C5" s="36" t="s">
        <v>55</v>
      </c>
      <c r="D5" s="36" t="s">
        <v>56</v>
      </c>
      <c r="E5" s="36" t="s">
        <v>57</v>
      </c>
      <c r="F5" s="36" t="s">
        <v>58</v>
      </c>
      <c r="G5" s="36" t="s">
        <v>59</v>
      </c>
      <c r="H5" s="36" t="s">
        <v>28</v>
      </c>
    </row>
    <row r="6" spans="1:8" x14ac:dyDescent="0.35">
      <c r="A6" s="27" t="s">
        <v>16</v>
      </c>
      <c r="B6" s="37">
        <v>36934095</v>
      </c>
      <c r="C6" s="37">
        <v>43307155.5</v>
      </c>
      <c r="D6" s="37">
        <v>41300679</v>
      </c>
      <c r="E6" s="37">
        <v>44172813</v>
      </c>
      <c r="F6" s="37">
        <v>46485094.5</v>
      </c>
      <c r="G6" s="37">
        <v>5800290</v>
      </c>
      <c r="H6" s="37">
        <v>218000127</v>
      </c>
    </row>
    <row r="7" spans="1:8" x14ac:dyDescent="0.35">
      <c r="A7" s="27" t="s">
        <v>11</v>
      </c>
      <c r="B7" s="37">
        <v>42828757.5</v>
      </c>
      <c r="C7" s="37">
        <v>46366009.5</v>
      </c>
      <c r="D7" s="37">
        <v>47079841.5</v>
      </c>
      <c r="E7" s="37">
        <v>49575288</v>
      </c>
      <c r="F7" s="37">
        <v>50729185.5</v>
      </c>
      <c r="G7" s="37">
        <v>6829921.5</v>
      </c>
      <c r="H7" s="37">
        <v>243409003.5</v>
      </c>
    </row>
    <row r="8" spans="1:8" x14ac:dyDescent="0.35">
      <c r="A8" s="27" t="s">
        <v>17</v>
      </c>
      <c r="B8" s="37">
        <v>17828215.5</v>
      </c>
      <c r="C8" s="37">
        <v>20974521</v>
      </c>
      <c r="D8" s="37">
        <v>23603355</v>
      </c>
      <c r="E8" s="37">
        <v>26815804.5</v>
      </c>
      <c r="F8" s="37">
        <v>27495690</v>
      </c>
      <c r="G8" s="37">
        <v>3865251</v>
      </c>
      <c r="H8" s="37">
        <v>120582837</v>
      </c>
    </row>
    <row r="9" spans="1:8" x14ac:dyDescent="0.35">
      <c r="A9" s="27" t="s">
        <v>10</v>
      </c>
      <c r="B9" s="37">
        <v>16029679.5</v>
      </c>
      <c r="C9" s="37">
        <v>19479055.5</v>
      </c>
      <c r="D9" s="37">
        <v>19724733</v>
      </c>
      <c r="E9" s="37">
        <v>20915751</v>
      </c>
      <c r="F9" s="37">
        <v>22579281</v>
      </c>
      <c r="G9" s="37">
        <v>2945035.5</v>
      </c>
      <c r="H9" s="37">
        <v>101673535.5</v>
      </c>
    </row>
    <row r="10" spans="1:8" x14ac:dyDescent="0.35">
      <c r="A10" s="27" t="s">
        <v>20</v>
      </c>
      <c r="B10" s="37">
        <v>13955985</v>
      </c>
      <c r="C10" s="37">
        <v>16391856</v>
      </c>
      <c r="D10" s="37">
        <v>16732521</v>
      </c>
      <c r="E10" s="37">
        <v>17647479</v>
      </c>
      <c r="F10" s="37">
        <v>18595773</v>
      </c>
      <c r="G10" s="37">
        <v>2538967.5</v>
      </c>
      <c r="H10" s="37">
        <v>85862581.5</v>
      </c>
    </row>
    <row r="11" spans="1:8" x14ac:dyDescent="0.35">
      <c r="A11" s="27" t="s">
        <v>22</v>
      </c>
      <c r="B11" s="37">
        <v>130713645</v>
      </c>
      <c r="C11" s="37">
        <v>151642039.5</v>
      </c>
      <c r="D11" s="37">
        <v>135813990</v>
      </c>
      <c r="E11" s="37">
        <v>149589546</v>
      </c>
      <c r="F11" s="37">
        <v>151451013</v>
      </c>
      <c r="G11" s="37">
        <v>18914194.5</v>
      </c>
      <c r="H11" s="37">
        <v>738124428</v>
      </c>
    </row>
    <row r="12" spans="1:8" x14ac:dyDescent="0.35">
      <c r="A12" s="27" t="s">
        <v>21</v>
      </c>
      <c r="B12" s="37">
        <v>136791225</v>
      </c>
      <c r="C12" s="37">
        <v>159695760</v>
      </c>
      <c r="D12" s="37">
        <v>142825023</v>
      </c>
      <c r="E12" s="37">
        <v>157512358.5</v>
      </c>
      <c r="F12" s="37">
        <v>157857214.5</v>
      </c>
      <c r="G12" s="37">
        <v>19465372.5</v>
      </c>
      <c r="H12" s="37">
        <v>774146953.5</v>
      </c>
    </row>
    <row r="13" spans="1:8" x14ac:dyDescent="0.35">
      <c r="A13" s="27" t="s">
        <v>13</v>
      </c>
      <c r="B13" s="37">
        <v>13145965.5</v>
      </c>
      <c r="C13" s="37">
        <v>17149980</v>
      </c>
      <c r="D13" s="37">
        <v>19963153.5</v>
      </c>
      <c r="E13" s="37">
        <v>20713983</v>
      </c>
      <c r="F13" s="37">
        <v>21605704.5</v>
      </c>
      <c r="G13" s="37">
        <v>3013512</v>
      </c>
      <c r="H13" s="37">
        <v>95592298.5</v>
      </c>
    </row>
    <row r="14" spans="1:8" x14ac:dyDescent="0.35">
      <c r="A14" s="27" t="s">
        <v>23</v>
      </c>
      <c r="B14" s="37">
        <v>5746024.5</v>
      </c>
      <c r="C14" s="37">
        <v>7253572.5</v>
      </c>
      <c r="D14" s="37">
        <v>7841920.5</v>
      </c>
      <c r="E14" s="37">
        <v>8990269.5</v>
      </c>
      <c r="F14" s="37">
        <v>9909624</v>
      </c>
      <c r="G14" s="37">
        <v>1293219</v>
      </c>
      <c r="H14" s="37">
        <v>41034630</v>
      </c>
    </row>
    <row r="15" spans="1:8" x14ac:dyDescent="0.35">
      <c r="A15" s="27" t="s">
        <v>18</v>
      </c>
      <c r="B15" s="37">
        <v>6961020</v>
      </c>
      <c r="C15" s="37">
        <v>8778597</v>
      </c>
      <c r="D15" s="37">
        <v>9036316.5</v>
      </c>
      <c r="E15" s="37">
        <v>10598445</v>
      </c>
      <c r="F15" s="37">
        <v>11902053</v>
      </c>
      <c r="G15" s="37">
        <v>1526608.5</v>
      </c>
      <c r="H15" s="37">
        <v>48803040</v>
      </c>
    </row>
    <row r="16" spans="1:8" x14ac:dyDescent="0.35">
      <c r="A16" s="27" t="s">
        <v>19</v>
      </c>
      <c r="B16" s="37">
        <v>2008809</v>
      </c>
      <c r="C16" s="37">
        <v>5892277.5</v>
      </c>
      <c r="D16" s="37">
        <v>7382458.5</v>
      </c>
      <c r="E16" s="37">
        <v>8638525.5</v>
      </c>
      <c r="F16" s="37">
        <v>9328845</v>
      </c>
      <c r="G16" s="37">
        <v>1565632.5</v>
      </c>
      <c r="H16" s="37">
        <v>34816548</v>
      </c>
    </row>
    <row r="17" spans="1:48" x14ac:dyDescent="0.35">
      <c r="A17" s="27" t="s">
        <v>9</v>
      </c>
      <c r="B17" s="37"/>
      <c r="C17" s="37"/>
      <c r="D17" s="37"/>
      <c r="E17" s="37"/>
      <c r="F17" s="37">
        <v>2706253.5</v>
      </c>
      <c r="G17" s="37">
        <v>636345</v>
      </c>
      <c r="H17" s="37">
        <v>3342598.5</v>
      </c>
    </row>
    <row r="18" spans="1:48" x14ac:dyDescent="0.35">
      <c r="A18" s="27" t="s">
        <v>15</v>
      </c>
      <c r="B18" s="37">
        <v>233059077</v>
      </c>
      <c r="C18" s="37">
        <v>272762503.5</v>
      </c>
      <c r="D18" s="37">
        <v>269949999</v>
      </c>
      <c r="E18" s="37">
        <v>275539431.56999999</v>
      </c>
      <c r="F18" s="37">
        <v>292155049.5</v>
      </c>
      <c r="G18" s="37">
        <v>37257840.18135</v>
      </c>
      <c r="H18" s="37">
        <v>1380723900.7513499</v>
      </c>
    </row>
    <row r="19" spans="1:48" x14ac:dyDescent="0.35">
      <c r="A19" s="27" t="s">
        <v>14</v>
      </c>
      <c r="B19" s="37">
        <v>176269533</v>
      </c>
      <c r="C19" s="37">
        <v>208128393.85664999</v>
      </c>
      <c r="D19" s="37">
        <v>199569624.22395</v>
      </c>
      <c r="E19" s="37">
        <v>204608809.47659999</v>
      </c>
      <c r="F19" s="37">
        <v>219265928.75384998</v>
      </c>
      <c r="G19" s="37">
        <v>27770092.5</v>
      </c>
      <c r="H19" s="37">
        <v>1035612381.8110499</v>
      </c>
    </row>
    <row r="20" spans="1:48" x14ac:dyDescent="0.35">
      <c r="A20" s="27" t="s">
        <v>12</v>
      </c>
      <c r="B20" s="37">
        <v>4531000.5</v>
      </c>
      <c r="C20" s="37">
        <v>6093688.5</v>
      </c>
      <c r="D20" s="37">
        <v>6439392</v>
      </c>
      <c r="E20" s="37">
        <v>7373379</v>
      </c>
      <c r="F20" s="37">
        <v>7762362</v>
      </c>
      <c r="G20" s="37">
        <v>1007742</v>
      </c>
      <c r="H20" s="37">
        <v>33207564</v>
      </c>
    </row>
    <row r="21" spans="1:48" x14ac:dyDescent="0.35">
      <c r="A21" s="27" t="s">
        <v>25</v>
      </c>
      <c r="B21" s="37"/>
      <c r="C21" s="37"/>
      <c r="D21" s="37"/>
      <c r="E21" s="37"/>
      <c r="F21" s="37">
        <v>493893</v>
      </c>
      <c r="G21" s="37">
        <v>389013</v>
      </c>
      <c r="H21" s="37">
        <v>882906</v>
      </c>
    </row>
    <row r="22" spans="1:48" x14ac:dyDescent="0.35">
      <c r="A22" s="27" t="s">
        <v>24</v>
      </c>
      <c r="B22" s="37"/>
      <c r="C22" s="37"/>
      <c r="D22" s="37"/>
      <c r="E22" s="37"/>
      <c r="F22" s="37">
        <v>4861708.5</v>
      </c>
      <c r="G22" s="37">
        <v>802447.5</v>
      </c>
      <c r="H22" s="37">
        <v>5664156</v>
      </c>
    </row>
    <row r="23" spans="1:48" x14ac:dyDescent="0.35">
      <c r="A23" s="27" t="s">
        <v>26</v>
      </c>
      <c r="B23" s="37"/>
      <c r="C23" s="37"/>
      <c r="D23" s="37"/>
      <c r="E23" s="37"/>
      <c r="F23" s="37">
        <v>468835.5</v>
      </c>
      <c r="G23" s="37">
        <v>410892</v>
      </c>
      <c r="H23" s="37">
        <v>879727.5</v>
      </c>
    </row>
    <row r="24" spans="1:48" x14ac:dyDescent="0.35">
      <c r="A24" s="27" t="s">
        <v>28</v>
      </c>
      <c r="B24" s="37">
        <v>836803032</v>
      </c>
      <c r="C24" s="37">
        <v>983915409.85664999</v>
      </c>
      <c r="D24" s="37">
        <v>947263006.72395003</v>
      </c>
      <c r="E24" s="37">
        <v>1002691883.0465999</v>
      </c>
      <c r="F24" s="37">
        <v>1055653508.75385</v>
      </c>
      <c r="G24" s="37">
        <v>136032376.68134999</v>
      </c>
      <c r="H24" s="37">
        <v>4962359217.0623999</v>
      </c>
    </row>
    <row r="27" spans="1:48" x14ac:dyDescent="0.35">
      <c r="A27" s="35" t="s">
        <v>29</v>
      </c>
    </row>
    <row r="28" spans="1:48" x14ac:dyDescent="0.35">
      <c r="A28" s="26" t="s">
        <v>63</v>
      </c>
      <c r="B28" s="26" t="s">
        <v>64</v>
      </c>
    </row>
    <row r="29" spans="1:48" ht="29" x14ac:dyDescent="0.35">
      <c r="A29" s="26" t="s">
        <v>62</v>
      </c>
      <c r="B29" s="36" t="s">
        <v>54</v>
      </c>
      <c r="C29" s="36" t="s">
        <v>55</v>
      </c>
      <c r="D29" s="36" t="s">
        <v>56</v>
      </c>
      <c r="E29" s="36" t="s">
        <v>57</v>
      </c>
      <c r="F29" s="36" t="s">
        <v>58</v>
      </c>
      <c r="G29" s="36" t="s">
        <v>59</v>
      </c>
      <c r="H29" s="36" t="s">
        <v>28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</row>
    <row r="30" spans="1:48" x14ac:dyDescent="0.35">
      <c r="A30" s="27" t="s">
        <v>16</v>
      </c>
      <c r="B30" s="28">
        <v>4.41371428969679E-2</v>
      </c>
      <c r="C30" s="28">
        <v>4.4015120676186549E-2</v>
      </c>
      <c r="D30" s="28">
        <v>4.3600012569725295E-2</v>
      </c>
      <c r="E30" s="28">
        <v>4.4054224180796603E-2</v>
      </c>
      <c r="F30" s="28">
        <v>4.4034424282711378E-2</v>
      </c>
      <c r="G30" s="28">
        <v>4.2639040363066878E-2</v>
      </c>
      <c r="H30" s="28">
        <v>4.3930742911644949E-2</v>
      </c>
    </row>
    <row r="31" spans="1:48" x14ac:dyDescent="0.35">
      <c r="A31" s="27" t="s">
        <v>11</v>
      </c>
      <c r="B31" s="28">
        <v>5.1181408123769798E-2</v>
      </c>
      <c r="C31" s="28">
        <v>4.7123979394483942E-2</v>
      </c>
      <c r="D31" s="28">
        <v>4.9700918505012341E-2</v>
      </c>
      <c r="E31" s="28">
        <v>4.9442195392436425E-2</v>
      </c>
      <c r="F31" s="28">
        <v>4.8054768993174145E-2</v>
      </c>
      <c r="G31" s="28">
        <v>5.0208058306580927E-2</v>
      </c>
      <c r="H31" s="28">
        <v>4.9051064796573195E-2</v>
      </c>
    </row>
    <row r="32" spans="1:48" x14ac:dyDescent="0.35">
      <c r="A32" s="27" t="s">
        <v>17</v>
      </c>
      <c r="B32" s="28">
        <v>2.1305151652461985E-2</v>
      </c>
      <c r="C32" s="28">
        <v>2.1317402685110756E-2</v>
      </c>
      <c r="D32" s="28">
        <v>2.4917425078839223E-2</v>
      </c>
      <c r="E32" s="28">
        <v>2.6743813282423611E-2</v>
      </c>
      <c r="F32" s="28">
        <v>2.604613139822496E-2</v>
      </c>
      <c r="G32" s="28">
        <v>2.8414198842193168E-2</v>
      </c>
      <c r="H32" s="28">
        <v>2.4299497824621857E-2</v>
      </c>
    </row>
    <row r="33" spans="1:8" x14ac:dyDescent="0.35">
      <c r="A33" s="27" t="s">
        <v>10</v>
      </c>
      <c r="B33" s="28">
        <v>1.9155857336807545E-2</v>
      </c>
      <c r="C33" s="28">
        <v>1.9797490012721693E-2</v>
      </c>
      <c r="D33" s="28">
        <v>2.082286847474046E-2</v>
      </c>
      <c r="E33" s="28">
        <v>2.0859599398021601E-2</v>
      </c>
      <c r="F33" s="28">
        <v>2.1388912946117892E-2</v>
      </c>
      <c r="G33" s="28">
        <v>2.1649518826673295E-2</v>
      </c>
      <c r="H33" s="28">
        <v>2.0488951132439048E-2</v>
      </c>
    </row>
    <row r="34" spans="1:8" x14ac:dyDescent="0.35">
      <c r="A34" s="27" t="s">
        <v>20</v>
      </c>
      <c r="B34" s="28">
        <v>1.6677741913344309E-2</v>
      </c>
      <c r="C34" s="28">
        <v>1.6659822415412914E-2</v>
      </c>
      <c r="D34" s="28">
        <v>1.7664070993195839E-2</v>
      </c>
      <c r="E34" s="28">
        <v>1.7600101584925105E-2</v>
      </c>
      <c r="F34" s="28">
        <v>1.761541343423511E-2</v>
      </c>
      <c r="G34" s="28">
        <v>1.866443534944201E-2</v>
      </c>
      <c r="H34" s="28">
        <v>1.7302774294285901E-2</v>
      </c>
    </row>
    <row r="35" spans="1:8" x14ac:dyDescent="0.35">
      <c r="A35" s="27" t="s">
        <v>22</v>
      </c>
      <c r="B35" s="28">
        <v>0.15620598874694325</v>
      </c>
      <c r="C35" s="28">
        <v>0.15412101282374799</v>
      </c>
      <c r="D35" s="28">
        <v>0.14337516511882398</v>
      </c>
      <c r="E35" s="28">
        <v>0.14918794948801622</v>
      </c>
      <c r="F35" s="28">
        <v>0.14346659367312756</v>
      </c>
      <c r="G35" s="28">
        <v>0.13904185872092562</v>
      </c>
      <c r="H35" s="28">
        <v>0.1487446586821162</v>
      </c>
    </row>
    <row r="36" spans="1:8" x14ac:dyDescent="0.35">
      <c r="A36" s="27" t="s">
        <v>21</v>
      </c>
      <c r="B36" s="28">
        <v>0.16346884484041879</v>
      </c>
      <c r="C36" s="28">
        <v>0.16230639178958139</v>
      </c>
      <c r="D36" s="28">
        <v>0.15077652350634005</v>
      </c>
      <c r="E36" s="28">
        <v>0.15708949195979444</v>
      </c>
      <c r="F36" s="28">
        <v>0.14953506353267668</v>
      </c>
      <c r="G36" s="28">
        <v>0.14309367354212152</v>
      </c>
      <c r="H36" s="28">
        <v>0.15600381182365852</v>
      </c>
    </row>
    <row r="37" spans="1:8" x14ac:dyDescent="0.35">
      <c r="A37" s="27" t="s">
        <v>13</v>
      </c>
      <c r="B37" s="28">
        <v>1.5709748886282716E-2</v>
      </c>
      <c r="C37" s="28">
        <v>1.7430339872915132E-2</v>
      </c>
      <c r="D37" s="28">
        <v>2.1074562564246356E-2</v>
      </c>
      <c r="E37" s="28">
        <v>2.0658373075747062E-2</v>
      </c>
      <c r="F37" s="28">
        <v>2.0466662897283914E-2</v>
      </c>
      <c r="G37" s="28">
        <v>2.2152902665657476E-2</v>
      </c>
      <c r="H37" s="28">
        <v>1.9263478180160522E-2</v>
      </c>
    </row>
    <row r="38" spans="1:8" x14ac:dyDescent="0.35">
      <c r="A38" s="27" t="s">
        <v>23</v>
      </c>
      <c r="B38" s="28">
        <v>6.8666391973589312E-3</v>
      </c>
      <c r="C38" s="28">
        <v>7.3721505195825706E-3</v>
      </c>
      <c r="D38" s="28">
        <v>8.2785039047611423E-3</v>
      </c>
      <c r="E38" s="28">
        <v>8.9661337166545892E-3</v>
      </c>
      <c r="F38" s="28">
        <v>9.3871937314904119E-3</v>
      </c>
      <c r="G38" s="28">
        <v>9.5067000338405466E-3</v>
      </c>
      <c r="H38" s="28">
        <v>8.2691776643069263E-3</v>
      </c>
    </row>
    <row r="39" spans="1:8" x14ac:dyDescent="0.35">
      <c r="A39" s="27" t="s">
        <v>18</v>
      </c>
      <c r="B39" s="28">
        <v>8.3185884058794846E-3</v>
      </c>
      <c r="C39" s="28">
        <v>8.9221054087149469E-3</v>
      </c>
      <c r="D39" s="28">
        <v>9.5393955383642984E-3</v>
      </c>
      <c r="E39" s="28">
        <v>1.056999181822183E-2</v>
      </c>
      <c r="F39" s="28">
        <v>1.1274582901779791E-2</v>
      </c>
      <c r="G39" s="28">
        <v>1.1222390854612612E-2</v>
      </c>
      <c r="H39" s="28">
        <v>9.8346447456277158E-3</v>
      </c>
    </row>
    <row r="40" spans="1:8" x14ac:dyDescent="0.35">
      <c r="A40" s="27" t="s">
        <v>19</v>
      </c>
      <c r="B40" s="28">
        <v>2.4005756709543089E-3</v>
      </c>
      <c r="C40" s="28">
        <v>5.9886017039396363E-3</v>
      </c>
      <c r="D40" s="28">
        <v>7.7934622671815001E-3</v>
      </c>
      <c r="E40" s="28">
        <v>8.6153340283881864E-3</v>
      </c>
      <c r="F40" s="28">
        <v>8.8370331009577831E-3</v>
      </c>
      <c r="G40" s="28">
        <v>1.1509263737025098E-2</v>
      </c>
      <c r="H40" s="28">
        <v>7.016128111058147E-3</v>
      </c>
    </row>
    <row r="41" spans="1:8" x14ac:dyDescent="0.35">
      <c r="A41" s="27" t="s">
        <v>9</v>
      </c>
      <c r="B41" s="28">
        <v>0</v>
      </c>
      <c r="C41" s="28">
        <v>0</v>
      </c>
      <c r="D41" s="28">
        <v>0</v>
      </c>
      <c r="E41" s="28">
        <v>0</v>
      </c>
      <c r="F41" s="28">
        <v>2.5635812106517856E-3</v>
      </c>
      <c r="G41" s="28">
        <v>4.6778937156307342E-3</v>
      </c>
      <c r="H41" s="28">
        <v>6.735905954786441E-4</v>
      </c>
    </row>
    <row r="42" spans="1:8" x14ac:dyDescent="0.35">
      <c r="A42" s="27" t="s">
        <v>15</v>
      </c>
      <c r="B42" s="28">
        <v>0.27851127217235033</v>
      </c>
      <c r="C42" s="28">
        <v>0.27722149766893039</v>
      </c>
      <c r="D42" s="28">
        <v>0.28497893096617932</v>
      </c>
      <c r="E42" s="28">
        <v>0.27479970290852984</v>
      </c>
      <c r="F42" s="28">
        <v>0.27675278590687913</v>
      </c>
      <c r="G42" s="28">
        <v>0.27388950403053602</v>
      </c>
      <c r="H42" s="28">
        <v>0.27823940999755076</v>
      </c>
    </row>
    <row r="43" spans="1:8" x14ac:dyDescent="0.35">
      <c r="A43" s="27" t="s">
        <v>14</v>
      </c>
      <c r="B43" s="28">
        <v>0.21064638422581625</v>
      </c>
      <c r="C43" s="28">
        <v>0.21153077975165865</v>
      </c>
      <c r="D43" s="28">
        <v>0.21068026810647772</v>
      </c>
      <c r="E43" s="28">
        <v>0.20405950515417789</v>
      </c>
      <c r="F43" s="28">
        <v>0.20770634202948204</v>
      </c>
      <c r="G43" s="28">
        <v>0.20414325749119455</v>
      </c>
      <c r="H43" s="28">
        <v>0.20869355411640436</v>
      </c>
    </row>
    <row r="44" spans="1:8" x14ac:dyDescent="0.35">
      <c r="A44" s="27" t="s">
        <v>12</v>
      </c>
      <c r="B44" s="28">
        <v>5.414655930644381E-3</v>
      </c>
      <c r="C44" s="28">
        <v>6.1933052770134075E-3</v>
      </c>
      <c r="D44" s="28">
        <v>6.7978924061124638E-3</v>
      </c>
      <c r="E44" s="28">
        <v>7.353584011866708E-3</v>
      </c>
      <c r="F44" s="28">
        <v>7.3531342771390095E-3</v>
      </c>
      <c r="G44" s="28">
        <v>7.4081040454111336E-3</v>
      </c>
      <c r="H44" s="28">
        <v>6.6918903987886027E-3</v>
      </c>
    </row>
    <row r="45" spans="1:8" x14ac:dyDescent="0.35">
      <c r="A45" s="27" t="s">
        <v>25</v>
      </c>
      <c r="B45" s="28">
        <v>0</v>
      </c>
      <c r="C45" s="28">
        <v>0</v>
      </c>
      <c r="D45" s="28">
        <v>0</v>
      </c>
      <c r="E45" s="28">
        <v>0</v>
      </c>
      <c r="F45" s="28">
        <v>4.6785521565974596E-4</v>
      </c>
      <c r="G45" s="28">
        <v>2.8597089126160477E-3</v>
      </c>
      <c r="H45" s="28">
        <v>1.779206142441779E-4</v>
      </c>
    </row>
    <row r="46" spans="1:8" x14ac:dyDescent="0.35">
      <c r="A46" s="27" t="s">
        <v>24</v>
      </c>
      <c r="B46" s="28">
        <v>0</v>
      </c>
      <c r="C46" s="28">
        <v>0</v>
      </c>
      <c r="D46" s="28">
        <v>0</v>
      </c>
      <c r="E46" s="28">
        <v>0</v>
      </c>
      <c r="F46" s="28">
        <v>4.6054017342669765E-3</v>
      </c>
      <c r="G46" s="28">
        <v>5.8989449392602969E-3</v>
      </c>
      <c r="H46" s="28">
        <v>1.1414240187458753E-3</v>
      </c>
    </row>
    <row r="47" spans="1:8" x14ac:dyDescent="0.35">
      <c r="A47" s="27" t="s">
        <v>26</v>
      </c>
      <c r="B47" s="28">
        <v>0</v>
      </c>
      <c r="C47" s="28">
        <v>0</v>
      </c>
      <c r="D47" s="28">
        <v>0</v>
      </c>
      <c r="E47" s="28">
        <v>0</v>
      </c>
      <c r="F47" s="28">
        <v>4.4411873414169635E-4</v>
      </c>
      <c r="G47" s="28">
        <v>3.0205456232121628E-3</v>
      </c>
      <c r="H47" s="28">
        <v>1.7728009229464408E-4</v>
      </c>
    </row>
    <row r="48" spans="1:8" x14ac:dyDescent="0.35">
      <c r="A48" s="27" t="s">
        <v>28</v>
      </c>
      <c r="B48" s="28">
        <v>1</v>
      </c>
      <c r="C48" s="28">
        <v>1</v>
      </c>
      <c r="D48" s="28">
        <v>1</v>
      </c>
      <c r="E48" s="28">
        <v>1</v>
      </c>
      <c r="F48" s="28">
        <v>1</v>
      </c>
      <c r="G48" s="28">
        <v>1</v>
      </c>
      <c r="H48" s="28">
        <v>1</v>
      </c>
    </row>
    <row r="51" spans="1:72" x14ac:dyDescent="0.35">
      <c r="A51" s="35" t="s">
        <v>67</v>
      </c>
    </row>
    <row r="52" spans="1:72" x14ac:dyDescent="0.35">
      <c r="A52" s="26" t="s">
        <v>66</v>
      </c>
      <c r="B52" s="26" t="s">
        <v>64</v>
      </c>
    </row>
    <row r="53" spans="1:72" ht="29" x14ac:dyDescent="0.35">
      <c r="A53" s="26" t="s">
        <v>62</v>
      </c>
      <c r="B53" s="36" t="s">
        <v>54</v>
      </c>
      <c r="C53" s="36" t="s">
        <v>55</v>
      </c>
      <c r="D53" s="36" t="s">
        <v>56</v>
      </c>
      <c r="E53" s="36" t="s">
        <v>57</v>
      </c>
      <c r="F53" s="36" t="s">
        <v>58</v>
      </c>
      <c r="G53" s="36" t="s">
        <v>59</v>
      </c>
      <c r="H53" s="36" t="s">
        <v>28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</row>
    <row r="54" spans="1:72" x14ac:dyDescent="0.35">
      <c r="A54" s="27" t="s">
        <v>16</v>
      </c>
      <c r="B54" s="37">
        <v>1025947.0833333334</v>
      </c>
      <c r="C54" s="37">
        <v>1202976.5416666667</v>
      </c>
      <c r="D54" s="37">
        <v>1147241.0833333333</v>
      </c>
      <c r="E54" s="37">
        <v>1227022.5833333333</v>
      </c>
      <c r="F54" s="37">
        <v>1269533.7353603605</v>
      </c>
      <c r="G54" s="37">
        <v>156764.59459459459</v>
      </c>
      <c r="H54" s="37">
        <v>6029485.6216216218</v>
      </c>
    </row>
    <row r="55" spans="1:72" x14ac:dyDescent="0.35">
      <c r="A55" s="27" t="s">
        <v>11</v>
      </c>
      <c r="B55" s="37">
        <v>1381572.8225806453</v>
      </c>
      <c r="C55" s="37">
        <v>1495677.7258064516</v>
      </c>
      <c r="D55" s="37">
        <v>1518704.5645161292</v>
      </c>
      <c r="E55" s="37">
        <v>1599202.8387096773</v>
      </c>
      <c r="F55" s="37">
        <v>1636425.3387096773</v>
      </c>
      <c r="G55" s="37">
        <v>220320.04838709679</v>
      </c>
      <c r="H55" s="37">
        <v>7851903.3387096785</v>
      </c>
    </row>
    <row r="56" spans="1:72" x14ac:dyDescent="0.35">
      <c r="A56" s="27" t="s">
        <v>17</v>
      </c>
      <c r="B56" s="37">
        <v>905861.28947368416</v>
      </c>
      <c r="C56" s="37">
        <v>1018321.6392857141</v>
      </c>
      <c r="D56" s="37">
        <v>1123969.2857142859</v>
      </c>
      <c r="E56" s="37">
        <v>1276943.0714285714</v>
      </c>
      <c r="F56" s="37">
        <v>1265812.7114624507</v>
      </c>
      <c r="G56" s="37">
        <v>168054.39130434784</v>
      </c>
      <c r="H56" s="37">
        <v>5758962.388669055</v>
      </c>
    </row>
    <row r="57" spans="1:72" x14ac:dyDescent="0.35">
      <c r="A57" s="27" t="s">
        <v>10</v>
      </c>
      <c r="B57" s="37">
        <v>868773.03333333333</v>
      </c>
      <c r="C57" s="37">
        <v>947140.01428571425</v>
      </c>
      <c r="D57" s="37">
        <v>939273</v>
      </c>
      <c r="E57" s="37">
        <v>1002951.825</v>
      </c>
      <c r="F57" s="37">
        <v>1120692.8714285714</v>
      </c>
      <c r="G57" s="37">
        <v>140239.78571428571</v>
      </c>
      <c r="H57" s="37">
        <v>5019070.5297619049</v>
      </c>
    </row>
    <row r="58" spans="1:72" x14ac:dyDescent="0.35">
      <c r="A58" s="27" t="s">
        <v>20</v>
      </c>
      <c r="B58" s="37">
        <v>748086.89035087719</v>
      </c>
      <c r="C58" s="37">
        <v>862729.26315789472</v>
      </c>
      <c r="D58" s="37">
        <v>880659</v>
      </c>
      <c r="E58" s="37">
        <v>928814.68421052629</v>
      </c>
      <c r="F58" s="37">
        <v>923135.49642857141</v>
      </c>
      <c r="G58" s="37">
        <v>120903.21428571429</v>
      </c>
      <c r="H58" s="37">
        <v>4464328.5484335842</v>
      </c>
    </row>
    <row r="59" spans="1:72" x14ac:dyDescent="0.35">
      <c r="A59" s="27" t="s">
        <v>22</v>
      </c>
      <c r="B59" s="37">
        <v>2420623.0555555555</v>
      </c>
      <c r="C59" s="37">
        <v>2808185.9166666665</v>
      </c>
      <c r="D59" s="37">
        <v>2515073.8888888895</v>
      </c>
      <c r="E59" s="37">
        <v>2770176.777777778</v>
      </c>
      <c r="F59" s="37">
        <v>2804648.388888889</v>
      </c>
      <c r="G59" s="37">
        <v>350262.86111111112</v>
      </c>
      <c r="H59" s="37">
        <v>13668970.888888892</v>
      </c>
    </row>
    <row r="60" spans="1:72" x14ac:dyDescent="0.35">
      <c r="A60" s="27" t="s">
        <v>21</v>
      </c>
      <c r="B60" s="37">
        <v>2318495.338983051</v>
      </c>
      <c r="C60" s="37">
        <v>2706707.7966101696</v>
      </c>
      <c r="D60" s="37">
        <v>2380417.0500000003</v>
      </c>
      <c r="E60" s="37">
        <v>2625205.9750000001</v>
      </c>
      <c r="F60" s="37">
        <v>2669744.9538135594</v>
      </c>
      <c r="G60" s="37">
        <v>329921.56779661018</v>
      </c>
      <c r="H60" s="37">
        <v>13030492.68220339</v>
      </c>
    </row>
    <row r="61" spans="1:72" x14ac:dyDescent="0.35">
      <c r="A61" s="27" t="s">
        <v>13</v>
      </c>
      <c r="B61" s="37">
        <v>712134.48039215687</v>
      </c>
      <c r="C61" s="37">
        <v>902630.52631578944</v>
      </c>
      <c r="D61" s="37">
        <v>1050692.289473684</v>
      </c>
      <c r="E61" s="37">
        <v>1064643.6157894735</v>
      </c>
      <c r="F61" s="37">
        <v>1080285.2249999999</v>
      </c>
      <c r="G61" s="37">
        <v>150675.6</v>
      </c>
      <c r="H61" s="37">
        <v>4961061.7369711036</v>
      </c>
    </row>
    <row r="62" spans="1:72" x14ac:dyDescent="0.35">
      <c r="A62" s="27" t="s">
        <v>23</v>
      </c>
      <c r="B62" s="37">
        <v>383068.3</v>
      </c>
      <c r="C62" s="37">
        <v>483571.49999999994</v>
      </c>
      <c r="D62" s="37">
        <v>503225.55</v>
      </c>
      <c r="E62" s="37">
        <v>515667.98161764705</v>
      </c>
      <c r="F62" s="37">
        <v>550534.66666666663</v>
      </c>
      <c r="G62" s="37">
        <v>71845.5</v>
      </c>
      <c r="H62" s="37">
        <v>2507913.4982843134</v>
      </c>
    </row>
    <row r="63" spans="1:72" x14ac:dyDescent="0.35">
      <c r="A63" s="27" t="s">
        <v>18</v>
      </c>
      <c r="B63" s="37">
        <v>464068</v>
      </c>
      <c r="C63" s="37">
        <v>585239.80000000005</v>
      </c>
      <c r="D63" s="37">
        <v>602421.10000000009</v>
      </c>
      <c r="E63" s="37">
        <v>638295.5294117647</v>
      </c>
      <c r="F63" s="37">
        <v>700120.76470588229</v>
      </c>
      <c r="G63" s="37">
        <v>89800.5</v>
      </c>
      <c r="H63" s="37">
        <v>3079945.6941176471</v>
      </c>
    </row>
    <row r="64" spans="1:72" x14ac:dyDescent="0.35">
      <c r="A64" s="27" t="s">
        <v>19</v>
      </c>
      <c r="B64" s="37">
        <v>133920.6</v>
      </c>
      <c r="C64" s="37">
        <v>392818.50000000006</v>
      </c>
      <c r="D64" s="37">
        <v>492163.9</v>
      </c>
      <c r="E64" s="37">
        <v>575901.69999999995</v>
      </c>
      <c r="F64" s="37">
        <v>598028.63749999995</v>
      </c>
      <c r="G64" s="37">
        <v>97852.03125</v>
      </c>
      <c r="H64" s="37">
        <v>2290685.3687500004</v>
      </c>
    </row>
    <row r="65" spans="1:8" x14ac:dyDescent="0.35">
      <c r="A65" s="27" t="s">
        <v>9</v>
      </c>
      <c r="B65" s="37"/>
      <c r="C65" s="37"/>
      <c r="D65" s="37"/>
      <c r="E65" s="37"/>
      <c r="F65" s="37">
        <v>180416.9</v>
      </c>
      <c r="G65" s="37">
        <v>42423</v>
      </c>
      <c r="H65" s="37">
        <v>222839.9</v>
      </c>
    </row>
    <row r="66" spans="1:8" x14ac:dyDescent="0.35">
      <c r="A66" s="27" t="s">
        <v>15</v>
      </c>
      <c r="B66" s="37">
        <v>1864472.6159999999</v>
      </c>
      <c r="C66" s="37">
        <v>2182100.0279999999</v>
      </c>
      <c r="D66" s="37">
        <v>2159599.9920000001</v>
      </c>
      <c r="E66" s="37">
        <v>2204315.4525600001</v>
      </c>
      <c r="F66" s="37">
        <v>2356089.1088709678</v>
      </c>
      <c r="G66" s="37">
        <v>302909.26976707316</v>
      </c>
      <c r="H66" s="37">
        <v>11069486.467198042</v>
      </c>
    </row>
    <row r="67" spans="1:8" x14ac:dyDescent="0.35">
      <c r="A67" s="27" t="s">
        <v>14</v>
      </c>
      <c r="B67" s="37">
        <v>1370065.9244186047</v>
      </c>
      <c r="C67" s="37">
        <v>1613398.401989535</v>
      </c>
      <c r="D67" s="37">
        <v>1547051.3505732559</v>
      </c>
      <c r="E67" s="37">
        <v>1586114.8021441859</v>
      </c>
      <c r="F67" s="37">
        <v>1699735.8818127906</v>
      </c>
      <c r="G67" s="37">
        <v>216953.84765625</v>
      </c>
      <c r="H67" s="37">
        <v>8033320.2085946212</v>
      </c>
    </row>
    <row r="68" spans="1:8" x14ac:dyDescent="0.35">
      <c r="A68" s="27" t="s">
        <v>12</v>
      </c>
      <c r="B68" s="37">
        <v>453100.05</v>
      </c>
      <c r="C68" s="37">
        <v>609368.85</v>
      </c>
      <c r="D68" s="37">
        <v>643939.19999999995</v>
      </c>
      <c r="E68" s="37">
        <v>737337.9</v>
      </c>
      <c r="F68" s="37">
        <v>776236.20000000007</v>
      </c>
      <c r="G68" s="37">
        <v>100774.2</v>
      </c>
      <c r="H68" s="37">
        <v>3320756.4000000004</v>
      </c>
    </row>
    <row r="69" spans="1:8" x14ac:dyDescent="0.35">
      <c r="A69" s="27" t="s">
        <v>25</v>
      </c>
      <c r="B69" s="37"/>
      <c r="C69" s="37"/>
      <c r="D69" s="37"/>
      <c r="E69" s="37"/>
      <c r="F69" s="37">
        <v>54877</v>
      </c>
      <c r="G69" s="37">
        <v>43223.666666666664</v>
      </c>
      <c r="H69" s="37">
        <v>98100.666666666657</v>
      </c>
    </row>
    <row r="70" spans="1:8" x14ac:dyDescent="0.35">
      <c r="A70" s="27" t="s">
        <v>24</v>
      </c>
      <c r="B70" s="37"/>
      <c r="C70" s="37"/>
      <c r="D70" s="37"/>
      <c r="E70" s="37"/>
      <c r="F70" s="37">
        <v>694529.78571428568</v>
      </c>
      <c r="G70" s="37">
        <v>114635.35714285714</v>
      </c>
      <c r="H70" s="37">
        <v>809165.14285714284</v>
      </c>
    </row>
    <row r="71" spans="1:8" x14ac:dyDescent="0.35">
      <c r="A71" s="27" t="s">
        <v>26</v>
      </c>
      <c r="B71" s="37"/>
      <c r="C71" s="37"/>
      <c r="D71" s="37"/>
      <c r="E71" s="37"/>
      <c r="F71" s="37">
        <v>78139.25</v>
      </c>
      <c r="G71" s="37">
        <v>68482</v>
      </c>
      <c r="H71" s="37">
        <v>146621.25</v>
      </c>
    </row>
    <row r="72" spans="1:8" x14ac:dyDescent="0.35">
      <c r="A72" s="27" t="s">
        <v>28</v>
      </c>
      <c r="B72" s="37">
        <v>15050189.484421242</v>
      </c>
      <c r="C72" s="37">
        <v>17810866.503784604</v>
      </c>
      <c r="D72" s="37">
        <v>17504431.254499581</v>
      </c>
      <c r="E72" s="37">
        <v>18752594.736982953</v>
      </c>
      <c r="F72" s="37">
        <v>20458986.916362673</v>
      </c>
      <c r="G72" s="37">
        <v>2786041.4356766078</v>
      </c>
      <c r="H72" s="37">
        <v>92363110.331727684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27"/>
  <sheetViews>
    <sheetView workbookViewId="0">
      <pane ySplit="6" topLeftCell="A7" activePane="bottomLeft" state="frozen"/>
      <selection pane="bottomLeft" activeCell="F32" sqref="F32"/>
    </sheetView>
  </sheetViews>
  <sheetFormatPr defaultRowHeight="14.5" x14ac:dyDescent="0.35"/>
  <cols>
    <col min="1" max="1" width="2" style="6" customWidth="1"/>
    <col min="2" max="2" width="29" style="6" customWidth="1"/>
    <col min="3" max="3" width="16" style="6" customWidth="1"/>
    <col min="4" max="4" width="14" style="6" customWidth="1"/>
    <col min="5" max="5" width="10" style="6" customWidth="1"/>
    <col min="6" max="6" width="16" style="6" customWidth="1"/>
    <col min="7" max="7" width="12" style="6" customWidth="1"/>
    <col min="8" max="8" width="11.90625" style="6" customWidth="1"/>
    <col min="9" max="9" width="12" style="6" customWidth="1"/>
    <col min="10" max="10" width="3" style="6" customWidth="1"/>
    <col min="11" max="11" width="8" style="6" customWidth="1"/>
    <col min="12" max="12" width="24" style="6" customWidth="1"/>
    <col min="13" max="13" width="16" style="6" customWidth="1"/>
    <col min="14" max="14" width="18" style="6" customWidth="1"/>
  </cols>
  <sheetData>
    <row r="2" spans="2:14" ht="18.5" x14ac:dyDescent="0.45">
      <c r="B2" s="33" t="s">
        <v>31</v>
      </c>
    </row>
    <row r="4" spans="2:14" ht="15.5" x14ac:dyDescent="0.35">
      <c r="B4" s="35" t="s">
        <v>68</v>
      </c>
      <c r="C4" s="47">
        <v>22</v>
      </c>
      <c r="D4" s="18">
        <f>INDEX('1.2 Динамика'!$D$5:$D$10,MATCH($C$4,'1.2 Динамика'!$B$5:$B$10,0))</f>
        <v>43976</v>
      </c>
      <c r="E4" s="18">
        <f>INDEX('1.2 Динамика'!$E$5:$E$10,MATCH($C$4,'1.2 Динамика'!$B$5:$B$10,0))</f>
        <v>43982</v>
      </c>
      <c r="F4" t="str">
        <f>"дней в данных: "&amp;INDEX('1.2 Динамика'!$F$5:$F$10,MATCH($C$4,'1.2 Динамика'!$B$5:$B$10,0))</f>
        <v>дней в данных: 7</v>
      </c>
      <c r="M4"/>
      <c r="N4"/>
    </row>
    <row r="5" spans="2:14" x14ac:dyDescent="0.35">
      <c r="B5" s="41" t="s">
        <v>69</v>
      </c>
    </row>
    <row r="6" spans="2:14" x14ac:dyDescent="0.35">
      <c r="K6" s="35" t="s">
        <v>32</v>
      </c>
    </row>
    <row r="7" spans="2:14" ht="48" customHeight="1" x14ac:dyDescent="0.35">
      <c r="B7" s="39" t="s">
        <v>1</v>
      </c>
      <c r="C7" s="39" t="s">
        <v>3</v>
      </c>
      <c r="D7" s="39" t="s">
        <v>33</v>
      </c>
      <c r="E7" s="39" t="s">
        <v>34</v>
      </c>
      <c r="F7" s="39" t="s">
        <v>30</v>
      </c>
      <c r="G7" s="39" t="s">
        <v>35</v>
      </c>
      <c r="H7" s="39" t="s">
        <v>36</v>
      </c>
      <c r="I7" s="39" t="s">
        <v>37</v>
      </c>
      <c r="K7" s="39" t="s">
        <v>38</v>
      </c>
      <c r="L7" s="39" t="s">
        <v>1</v>
      </c>
      <c r="M7" s="39" t="s">
        <v>39</v>
      </c>
      <c r="N7" s="39" t="s">
        <v>3</v>
      </c>
    </row>
    <row r="8" spans="2:14" x14ac:dyDescent="0.35">
      <c r="B8" s="19" t="s">
        <v>16</v>
      </c>
      <c r="C8" s="20">
        <f>SUMIFS(Лист1!$D:$D,Лист1!$B:$B,$B8,Лист1!$I:$I,$C$4)</f>
        <v>46485094.5</v>
      </c>
      <c r="D8" s="21">
        <f t="shared" ref="D8:D25" si="0">IFERROR(C8/$C$26,0)</f>
        <v>4.4034424282711378E-2</v>
      </c>
      <c r="E8" s="22">
        <f t="shared" ref="E8:E25" si="1">IF(C8=0,"–",RANK(D8,$D$8:$D$25))</f>
        <v>6</v>
      </c>
      <c r="F8" s="20">
        <f>SUMIFS(Лист1!$H:$H,Лист1!$B:$B,$B8,Лист1!$I:$I,$C$4)</f>
        <v>1269533.7353603602</v>
      </c>
      <c r="G8" s="22">
        <f t="shared" ref="G8:G25" si="2">IF(F8=0,"–",RANK(F8,$F$8:$F$25))</f>
        <v>6</v>
      </c>
      <c r="H8" s="22">
        <f>COUNTIFS(Лист1!$B:$B,$B8,Лист1!$I:$I,$C$4)</f>
        <v>7</v>
      </c>
      <c r="I8" s="23">
        <f>IFERROR(AVERAGEIFS(Лист1!$E:$E,Лист1!$B:$B,$B8,Лист1!$I:$I,$C$4),0)</f>
        <v>36.571428571428569</v>
      </c>
      <c r="K8" s="22">
        <v>1</v>
      </c>
      <c r="L8" s="19" t="str">
        <f>INDEX($B$8:$B$25,MATCH(1,$E$8:$E$25,0))</f>
        <v>Санкт-Петербург Север</v>
      </c>
      <c r="M8" s="21">
        <f>INDEX($D$8:$D$25,MATCH(1,$E$8:$E$25,0))</f>
        <v>0.27675278590687913</v>
      </c>
      <c r="N8" s="20">
        <f>INDEX($C$8:$C$25,MATCH(1,$E$8:$E$25,0))</f>
        <v>292155049.5</v>
      </c>
    </row>
    <row r="9" spans="2:14" x14ac:dyDescent="0.35">
      <c r="B9" s="19" t="s">
        <v>11</v>
      </c>
      <c r="C9" s="20">
        <f>SUMIFS(Лист1!$D:$D,Лист1!$B:$B,$B9,Лист1!$I:$I,$C$4)</f>
        <v>50729185.5</v>
      </c>
      <c r="D9" s="21">
        <f t="shared" si="0"/>
        <v>4.8054768993174145E-2</v>
      </c>
      <c r="E9" s="22">
        <f t="shared" si="1"/>
        <v>5</v>
      </c>
      <c r="F9" s="20">
        <f>SUMIFS(Лист1!$H:$H,Лист1!$B:$B,$B9,Лист1!$I:$I,$C$4)</f>
        <v>1636425.3387096773</v>
      </c>
      <c r="G9" s="22">
        <f t="shared" si="2"/>
        <v>5</v>
      </c>
      <c r="H9" s="22">
        <f>COUNTIFS(Лист1!$B:$B,$B9,Лист1!$I:$I,$C$4)</f>
        <v>7</v>
      </c>
      <c r="I9" s="23">
        <f>IFERROR(AVERAGEIFS(Лист1!$E:$E,Лист1!$B:$B,$B9,Лист1!$I:$I,$C$4),0)</f>
        <v>31</v>
      </c>
      <c r="K9" s="22">
        <v>2</v>
      </c>
      <c r="L9" s="19" t="str">
        <f>INDEX($B$8:$B$25,MATCH(2,$E$8:$E$25,0))</f>
        <v>Санкт-Петербург Юг</v>
      </c>
      <c r="M9" s="21">
        <f>INDEX($D$8:$D$25,MATCH(2,$E$8:$E$25,0))</f>
        <v>0.20770634202948204</v>
      </c>
      <c r="N9" s="20">
        <f>INDEX($C$8:$C$25,MATCH(2,$E$8:$E$25,0))</f>
        <v>219265928.75384998</v>
      </c>
    </row>
    <row r="10" spans="2:14" x14ac:dyDescent="0.35">
      <c r="B10" s="19" t="s">
        <v>17</v>
      </c>
      <c r="C10" s="20">
        <f>SUMIFS(Лист1!$D:$D,Лист1!$B:$B,$B10,Лист1!$I:$I,$C$4)</f>
        <v>27495690</v>
      </c>
      <c r="D10" s="21">
        <f t="shared" si="0"/>
        <v>2.604613139822496E-2</v>
      </c>
      <c r="E10" s="22">
        <f t="shared" si="1"/>
        <v>7</v>
      </c>
      <c r="F10" s="20">
        <f>SUMIFS(Лист1!$H:$H,Лист1!$B:$B,$B10,Лист1!$I:$I,$C$4)</f>
        <v>1265812.7114624507</v>
      </c>
      <c r="G10" s="22">
        <f t="shared" si="2"/>
        <v>7</v>
      </c>
      <c r="H10" s="22">
        <f>COUNTIFS(Лист1!$B:$B,$B10,Лист1!$I:$I,$C$4)</f>
        <v>7</v>
      </c>
      <c r="I10" s="23">
        <f>IFERROR(AVERAGEIFS(Лист1!$E:$E,Лист1!$B:$B,$B10,Лист1!$I:$I,$C$4),0)</f>
        <v>21.714285714285715</v>
      </c>
      <c r="K10" s="22">
        <v>3</v>
      </c>
      <c r="L10" s="19" t="str">
        <f>INDEX($B$8:$B$25,MATCH(3,$E$8:$E$25,0))</f>
        <v>Москва Запад</v>
      </c>
      <c r="M10" s="21">
        <f>INDEX($D$8:$D$25,MATCH(3,$E$8:$E$25,0))</f>
        <v>0.14953506353267668</v>
      </c>
      <c r="N10" s="20">
        <f>INDEX($C$8:$C$25,MATCH(3,$E$8:$E$25,0))</f>
        <v>157857214.5</v>
      </c>
    </row>
    <row r="11" spans="2:14" x14ac:dyDescent="0.35">
      <c r="B11" s="19" t="s">
        <v>10</v>
      </c>
      <c r="C11" s="20">
        <f>SUMIFS(Лист1!$D:$D,Лист1!$B:$B,$B11,Лист1!$I:$I,$C$4)</f>
        <v>22579281</v>
      </c>
      <c r="D11" s="21">
        <f t="shared" si="0"/>
        <v>2.1388912946117892E-2</v>
      </c>
      <c r="E11" s="22">
        <f t="shared" si="1"/>
        <v>8</v>
      </c>
      <c r="F11" s="20">
        <f>SUMIFS(Лист1!$H:$H,Лист1!$B:$B,$B11,Лист1!$I:$I,$C$4)</f>
        <v>1120692.8714285716</v>
      </c>
      <c r="G11" s="22">
        <f t="shared" si="2"/>
        <v>8</v>
      </c>
      <c r="H11" s="22">
        <f>COUNTIFS(Лист1!$B:$B,$B11,Лист1!$I:$I,$C$4)</f>
        <v>7</v>
      </c>
      <c r="I11" s="23">
        <f>IFERROR(AVERAGEIFS(Лист1!$E:$E,Лист1!$B:$B,$B11,Лист1!$I:$I,$C$4),0)</f>
        <v>20.142857142857142</v>
      </c>
      <c r="K11" s="48"/>
      <c r="L11" s="49" t="s">
        <v>40</v>
      </c>
      <c r="M11" s="50">
        <f>SUM(M8:M10)</f>
        <v>0.63399419146903779</v>
      </c>
      <c r="N11" s="51">
        <f>SUM(N8:N10)</f>
        <v>669278192.75384998</v>
      </c>
    </row>
    <row r="12" spans="2:14" x14ac:dyDescent="0.35">
      <c r="B12" s="19" t="s">
        <v>20</v>
      </c>
      <c r="C12" s="20">
        <f>SUMIFS(Лист1!$D:$D,Лист1!$B:$B,$B12,Лист1!$I:$I,$C$4)</f>
        <v>18595773</v>
      </c>
      <c r="D12" s="21">
        <f t="shared" si="0"/>
        <v>1.761541343423511E-2</v>
      </c>
      <c r="E12" s="22">
        <f t="shared" si="1"/>
        <v>10</v>
      </c>
      <c r="F12" s="20">
        <f>SUMIFS(Лист1!$H:$H,Лист1!$B:$B,$B12,Лист1!$I:$I,$C$4)</f>
        <v>923135.49642857141</v>
      </c>
      <c r="G12" s="22">
        <f t="shared" si="2"/>
        <v>10</v>
      </c>
      <c r="H12" s="22">
        <f>COUNTIFS(Лист1!$B:$B,$B12,Лист1!$I:$I,$C$4)</f>
        <v>7</v>
      </c>
      <c r="I12" s="23">
        <f>IFERROR(AVERAGEIFS(Лист1!$E:$E,Лист1!$B:$B,$B12,Лист1!$I:$I,$C$4),0)</f>
        <v>20.142857142857142</v>
      </c>
    </row>
    <row r="13" spans="2:14" x14ac:dyDescent="0.35">
      <c r="B13" s="19" t="s">
        <v>22</v>
      </c>
      <c r="C13" s="20">
        <f>SUMIFS(Лист1!$D:$D,Лист1!$B:$B,$B13,Лист1!$I:$I,$C$4)</f>
        <v>151451013</v>
      </c>
      <c r="D13" s="21">
        <f t="shared" si="0"/>
        <v>0.14346659367312756</v>
      </c>
      <c r="E13" s="22">
        <f t="shared" si="1"/>
        <v>4</v>
      </c>
      <c r="F13" s="20">
        <f>SUMIFS(Лист1!$H:$H,Лист1!$B:$B,$B13,Лист1!$I:$I,$C$4)</f>
        <v>2804648.3888888885</v>
      </c>
      <c r="G13" s="22">
        <f t="shared" si="2"/>
        <v>1</v>
      </c>
      <c r="H13" s="22">
        <f>COUNTIFS(Лист1!$B:$B,$B13,Лист1!$I:$I,$C$4)</f>
        <v>7</v>
      </c>
      <c r="I13" s="23">
        <f>IFERROR(AVERAGEIFS(Лист1!$E:$E,Лист1!$B:$B,$B13,Лист1!$I:$I,$C$4),0)</f>
        <v>54</v>
      </c>
      <c r="K13" s="35" t="s">
        <v>41</v>
      </c>
    </row>
    <row r="14" spans="2:14" x14ac:dyDescent="0.35">
      <c r="B14" s="19" t="s">
        <v>21</v>
      </c>
      <c r="C14" s="20">
        <f>SUMIFS(Лист1!$D:$D,Лист1!$B:$B,$B14,Лист1!$I:$I,$C$4)</f>
        <v>157857214.5</v>
      </c>
      <c r="D14" s="21">
        <f t="shared" si="0"/>
        <v>0.14953506353267668</v>
      </c>
      <c r="E14" s="22">
        <f t="shared" si="1"/>
        <v>3</v>
      </c>
      <c r="F14" s="20">
        <f>SUMIFS(Лист1!$H:$H,Лист1!$B:$B,$B14,Лист1!$I:$I,$C$4)</f>
        <v>2669744.9538135594</v>
      </c>
      <c r="G14" s="22">
        <f t="shared" si="2"/>
        <v>2</v>
      </c>
      <c r="H14" s="22">
        <f>COUNTIFS(Лист1!$B:$B,$B14,Лист1!$I:$I,$C$4)</f>
        <v>7</v>
      </c>
      <c r="I14" s="23">
        <f>IFERROR(AVERAGEIFS(Лист1!$E:$E,Лист1!$B:$B,$B14,Лист1!$I:$I,$C$4),0)</f>
        <v>59.142857142857146</v>
      </c>
      <c r="K14" s="40" t="s">
        <v>38</v>
      </c>
      <c r="L14" s="40" t="s">
        <v>1</v>
      </c>
      <c r="M14" s="40" t="s">
        <v>42</v>
      </c>
      <c r="N14" s="40" t="s">
        <v>37</v>
      </c>
    </row>
    <row r="15" spans="2:14" x14ac:dyDescent="0.35">
      <c r="B15" s="19" t="s">
        <v>13</v>
      </c>
      <c r="C15" s="20">
        <f>SUMIFS(Лист1!$D:$D,Лист1!$B:$B,$B15,Лист1!$I:$I,$C$4)</f>
        <v>21605704.5</v>
      </c>
      <c r="D15" s="21">
        <f t="shared" si="0"/>
        <v>2.0466662897283914E-2</v>
      </c>
      <c r="E15" s="22">
        <f t="shared" si="1"/>
        <v>9</v>
      </c>
      <c r="F15" s="20">
        <f>SUMIFS(Лист1!$H:$H,Лист1!$B:$B,$B15,Лист1!$I:$I,$C$4)</f>
        <v>1080285.2250000001</v>
      </c>
      <c r="G15" s="22">
        <f t="shared" si="2"/>
        <v>9</v>
      </c>
      <c r="H15" s="22">
        <f>COUNTIFS(Лист1!$B:$B,$B15,Лист1!$I:$I,$C$4)</f>
        <v>7</v>
      </c>
      <c r="I15" s="23">
        <f>IFERROR(AVERAGEIFS(Лист1!$E:$E,Лист1!$B:$B,$B15,Лист1!$I:$I,$C$4),0)</f>
        <v>20</v>
      </c>
      <c r="K15" s="22">
        <v>1</v>
      </c>
      <c r="L15" s="19" t="str">
        <f>INDEX($B$8:$B$25,MATCH(1,$G$8:$G$25,0))</f>
        <v>Москва Восток</v>
      </c>
      <c r="M15" s="20">
        <f>INDEX($F$8:$F$25,MATCH(1,$G$8:$G$25,0))</f>
        <v>2804648.3888888885</v>
      </c>
      <c r="N15" s="23">
        <f>INDEX($I$8:$I$25,MATCH(1,$G$8:$G$25,0))</f>
        <v>54</v>
      </c>
    </row>
    <row r="16" spans="2:14" x14ac:dyDescent="0.35">
      <c r="B16" s="19" t="s">
        <v>23</v>
      </c>
      <c r="C16" s="20">
        <f>SUMIFS(Лист1!$D:$D,Лист1!$B:$B,$B16,Лист1!$I:$I,$C$4)</f>
        <v>9909624</v>
      </c>
      <c r="D16" s="21">
        <f t="shared" si="0"/>
        <v>9.3871937314904119E-3</v>
      </c>
      <c r="E16" s="22">
        <f t="shared" si="1"/>
        <v>12</v>
      </c>
      <c r="F16" s="20">
        <f>SUMIFS(Лист1!$H:$H,Лист1!$B:$B,$B16,Лист1!$I:$I,$C$4)</f>
        <v>550534.66666666663</v>
      </c>
      <c r="G16" s="22">
        <f t="shared" si="2"/>
        <v>15</v>
      </c>
      <c r="H16" s="22">
        <f>COUNTIFS(Лист1!$B:$B,$B16,Лист1!$I:$I,$C$4)</f>
        <v>7</v>
      </c>
      <c r="I16" s="23">
        <f>IFERROR(AVERAGEIFS(Лист1!$E:$E,Лист1!$B:$B,$B16,Лист1!$I:$I,$C$4),0)</f>
        <v>18</v>
      </c>
      <c r="K16" s="22">
        <v>2</v>
      </c>
      <c r="L16" s="19" t="str">
        <f>INDEX($B$8:$B$25,MATCH(2,$G$8:$G$25,0))</f>
        <v>Москва Запад</v>
      </c>
      <c r="M16" s="20">
        <f>INDEX($F$8:$F$25,MATCH(2,$G$8:$G$25,0))</f>
        <v>2669744.9538135594</v>
      </c>
      <c r="N16" s="23">
        <f>INDEX($I$8:$I$25,MATCH(2,$G$8:$G$25,0))</f>
        <v>59.142857142857146</v>
      </c>
    </row>
    <row r="17" spans="2:14" x14ac:dyDescent="0.35">
      <c r="B17" s="19" t="s">
        <v>18</v>
      </c>
      <c r="C17" s="20">
        <f>SUMIFS(Лист1!$D:$D,Лист1!$B:$B,$B17,Лист1!$I:$I,$C$4)</f>
        <v>11902053</v>
      </c>
      <c r="D17" s="21">
        <f t="shared" si="0"/>
        <v>1.1274582901779791E-2</v>
      </c>
      <c r="E17" s="22">
        <f t="shared" si="1"/>
        <v>11</v>
      </c>
      <c r="F17" s="20">
        <f>SUMIFS(Лист1!$H:$H,Лист1!$B:$B,$B17,Лист1!$I:$I,$C$4)</f>
        <v>700120.76470588229</v>
      </c>
      <c r="G17" s="22">
        <f t="shared" si="2"/>
        <v>12</v>
      </c>
      <c r="H17" s="22">
        <f>COUNTIFS(Лист1!$B:$B,$B17,Лист1!$I:$I,$C$4)</f>
        <v>7</v>
      </c>
      <c r="I17" s="23">
        <f>IFERROR(AVERAGEIFS(Лист1!$E:$E,Лист1!$B:$B,$B17,Лист1!$I:$I,$C$4),0)</f>
        <v>17</v>
      </c>
      <c r="K17" s="22">
        <v>3</v>
      </c>
      <c r="L17" s="19" t="str">
        <f>INDEX($B$8:$B$25,MATCH(3,$G$8:$G$25,0))</f>
        <v>Санкт-Петербург Север</v>
      </c>
      <c r="M17" s="20">
        <f>INDEX($F$8:$F$25,MATCH(3,$G$8:$G$25,0))</f>
        <v>2356089.1088709678</v>
      </c>
      <c r="N17" s="23">
        <f>INDEX($I$8:$I$25,MATCH(3,$G$8:$G$25,0))</f>
        <v>124</v>
      </c>
    </row>
    <row r="18" spans="2:14" x14ac:dyDescent="0.35">
      <c r="B18" s="19" t="s">
        <v>19</v>
      </c>
      <c r="C18" s="20">
        <f>SUMIFS(Лист1!$D:$D,Лист1!$B:$B,$B18,Лист1!$I:$I,$C$4)</f>
        <v>9328845</v>
      </c>
      <c r="D18" s="21">
        <f t="shared" si="0"/>
        <v>8.8370331009577831E-3</v>
      </c>
      <c r="E18" s="22">
        <f t="shared" si="1"/>
        <v>13</v>
      </c>
      <c r="F18" s="20">
        <f>SUMIFS(Лист1!$H:$H,Лист1!$B:$B,$B18,Лист1!$I:$I,$C$4)</f>
        <v>598028.63749999995</v>
      </c>
      <c r="G18" s="22">
        <f t="shared" si="2"/>
        <v>14</v>
      </c>
      <c r="H18" s="22">
        <f>COUNTIFS(Лист1!$B:$B,$B18,Лист1!$I:$I,$C$4)</f>
        <v>7</v>
      </c>
      <c r="I18" s="23">
        <f>IFERROR(AVERAGEIFS(Лист1!$E:$E,Лист1!$B:$B,$B18,Лист1!$I:$I,$C$4),0)</f>
        <v>15.571428571428571</v>
      </c>
      <c r="K18" s="48"/>
      <c r="L18" s="49" t="s">
        <v>43</v>
      </c>
      <c r="M18" s="51">
        <f>F26</f>
        <v>1779489.1848684214</v>
      </c>
      <c r="N18" s="48"/>
    </row>
    <row r="19" spans="2:14" x14ac:dyDescent="0.35">
      <c r="B19" s="19" t="s">
        <v>9</v>
      </c>
      <c r="C19" s="20">
        <f>SUMIFS(Лист1!$D:$D,Лист1!$B:$B,$B19,Лист1!$I:$I,$C$4)</f>
        <v>2706253.5</v>
      </c>
      <c r="D19" s="21">
        <f t="shared" si="0"/>
        <v>2.5635812106517856E-3</v>
      </c>
      <c r="E19" s="22">
        <f t="shared" si="1"/>
        <v>16</v>
      </c>
      <c r="F19" s="20">
        <f>SUMIFS(Лист1!$H:$H,Лист1!$B:$B,$B19,Лист1!$I:$I,$C$4)</f>
        <v>180416.90000000002</v>
      </c>
      <c r="G19" s="22">
        <f t="shared" si="2"/>
        <v>16</v>
      </c>
      <c r="H19" s="22">
        <f>COUNTIFS(Лист1!$B:$B,$B19,Лист1!$I:$I,$C$4)</f>
        <v>4</v>
      </c>
      <c r="I19" s="23">
        <f>IFERROR(AVERAGEIFS(Лист1!$E:$E,Лист1!$B:$B,$B19,Лист1!$I:$I,$C$4),0)</f>
        <v>15</v>
      </c>
    </row>
    <row r="20" spans="2:14" x14ac:dyDescent="0.35">
      <c r="B20" s="19" t="s">
        <v>15</v>
      </c>
      <c r="C20" s="20">
        <f>SUMIFS(Лист1!$D:$D,Лист1!$B:$B,$B20,Лист1!$I:$I,$C$4)</f>
        <v>292155049.5</v>
      </c>
      <c r="D20" s="21">
        <f t="shared" si="0"/>
        <v>0.27675278590687913</v>
      </c>
      <c r="E20" s="22">
        <f t="shared" si="1"/>
        <v>1</v>
      </c>
      <c r="F20" s="20">
        <f>SUMIFS(Лист1!$H:$H,Лист1!$B:$B,$B20,Лист1!$I:$I,$C$4)</f>
        <v>2356089.1088709678</v>
      </c>
      <c r="G20" s="22">
        <f t="shared" si="2"/>
        <v>3</v>
      </c>
      <c r="H20" s="22">
        <f>COUNTIFS(Лист1!$B:$B,$B20,Лист1!$I:$I,$C$4)</f>
        <v>7</v>
      </c>
      <c r="I20" s="23">
        <f>IFERROR(AVERAGEIFS(Лист1!$E:$E,Лист1!$B:$B,$B20,Лист1!$I:$I,$C$4),0)</f>
        <v>124</v>
      </c>
    </row>
    <row r="21" spans="2:14" x14ac:dyDescent="0.35">
      <c r="B21" s="19" t="s">
        <v>14</v>
      </c>
      <c r="C21" s="20">
        <f>SUMIFS(Лист1!$D:$D,Лист1!$B:$B,$B21,Лист1!$I:$I,$C$4)</f>
        <v>219265928.75384998</v>
      </c>
      <c r="D21" s="21">
        <f t="shared" si="0"/>
        <v>0.20770634202948204</v>
      </c>
      <c r="E21" s="22">
        <f t="shared" si="1"/>
        <v>2</v>
      </c>
      <c r="F21" s="20">
        <f>SUMIFS(Лист1!$H:$H,Лист1!$B:$B,$B21,Лист1!$I:$I,$C$4)</f>
        <v>1699735.8818127906</v>
      </c>
      <c r="G21" s="22">
        <f t="shared" si="2"/>
        <v>4</v>
      </c>
      <c r="H21" s="22">
        <f>COUNTIFS(Лист1!$B:$B,$B21,Лист1!$I:$I,$C$4)</f>
        <v>7</v>
      </c>
      <c r="I21" s="23">
        <f>IFERROR(AVERAGEIFS(Лист1!$E:$E,Лист1!$B:$B,$B21,Лист1!$I:$I,$C$4),0)</f>
        <v>129</v>
      </c>
      <c r="K21" s="17"/>
    </row>
    <row r="22" spans="2:14" x14ac:dyDescent="0.35">
      <c r="B22" s="19" t="s">
        <v>12</v>
      </c>
      <c r="C22" s="20">
        <f>SUMIFS(Лист1!$D:$D,Лист1!$B:$B,$B22,Лист1!$I:$I,$C$4)</f>
        <v>7762362</v>
      </c>
      <c r="D22" s="21">
        <f t="shared" si="0"/>
        <v>7.3531342771390095E-3</v>
      </c>
      <c r="E22" s="22">
        <f t="shared" si="1"/>
        <v>14</v>
      </c>
      <c r="F22" s="20">
        <f>SUMIFS(Лист1!$H:$H,Лист1!$B:$B,$B22,Лист1!$I:$I,$C$4)</f>
        <v>776236.2</v>
      </c>
      <c r="G22" s="22">
        <f t="shared" si="2"/>
        <v>11</v>
      </c>
      <c r="H22" s="22">
        <f>COUNTIFS(Лист1!$B:$B,$B22,Лист1!$I:$I,$C$4)</f>
        <v>7</v>
      </c>
      <c r="I22" s="23">
        <f>IFERROR(AVERAGEIFS(Лист1!$E:$E,Лист1!$B:$B,$B22,Лист1!$I:$I,$C$4),0)</f>
        <v>10</v>
      </c>
      <c r="K22" s="24"/>
    </row>
    <row r="23" spans="2:14" x14ac:dyDescent="0.35">
      <c r="B23" s="19" t="s">
        <v>25</v>
      </c>
      <c r="C23" s="20">
        <f>SUMIFS(Лист1!$D:$D,Лист1!$B:$B,$B23,Лист1!$I:$I,$C$4)</f>
        <v>493893</v>
      </c>
      <c r="D23" s="21">
        <f t="shared" si="0"/>
        <v>4.6785521565974596E-4</v>
      </c>
      <c r="E23" s="22">
        <f t="shared" si="1"/>
        <v>17</v>
      </c>
      <c r="F23" s="20">
        <f>SUMIFS(Лист1!$H:$H,Лист1!$B:$B,$B23,Лист1!$I:$I,$C$4)</f>
        <v>54877</v>
      </c>
      <c r="G23" s="22">
        <f t="shared" si="2"/>
        <v>18</v>
      </c>
      <c r="H23" s="22">
        <f>COUNTIFS(Лист1!$B:$B,$B23,Лист1!$I:$I,$C$4)</f>
        <v>1</v>
      </c>
      <c r="I23" s="23">
        <f>IFERROR(AVERAGEIFS(Лист1!$E:$E,Лист1!$B:$B,$B23,Лист1!$I:$I,$C$4),0)</f>
        <v>9</v>
      </c>
      <c r="K23" s="24"/>
    </row>
    <row r="24" spans="2:14" x14ac:dyDescent="0.35">
      <c r="B24" s="19" t="s">
        <v>24</v>
      </c>
      <c r="C24" s="20">
        <f>SUMIFS(Лист1!$D:$D,Лист1!$B:$B,$B24,Лист1!$I:$I,$C$4)</f>
        <v>4861708.5</v>
      </c>
      <c r="D24" s="21">
        <f t="shared" si="0"/>
        <v>4.6054017342669765E-3</v>
      </c>
      <c r="E24" s="22">
        <f t="shared" si="1"/>
        <v>15</v>
      </c>
      <c r="F24" s="20">
        <f>SUMIFS(Лист1!$H:$H,Лист1!$B:$B,$B24,Лист1!$I:$I,$C$4)</f>
        <v>694529.78571428568</v>
      </c>
      <c r="G24" s="22">
        <f t="shared" si="2"/>
        <v>13</v>
      </c>
      <c r="H24" s="22">
        <f>COUNTIFS(Лист1!$B:$B,$B24,Лист1!$I:$I,$C$4)</f>
        <v>6</v>
      </c>
      <c r="I24" s="23">
        <f>IFERROR(AVERAGEIFS(Лист1!$E:$E,Лист1!$B:$B,$B24,Лист1!$I:$I,$C$4),0)</f>
        <v>7</v>
      </c>
      <c r="K24" s="24"/>
    </row>
    <row r="25" spans="2:14" x14ac:dyDescent="0.35">
      <c r="B25" s="19" t="s">
        <v>26</v>
      </c>
      <c r="C25" s="20">
        <f>SUMIFS(Лист1!$D:$D,Лист1!$B:$B,$B25,Лист1!$I:$I,$C$4)</f>
        <v>468835.5</v>
      </c>
      <c r="D25" s="21">
        <f t="shared" si="0"/>
        <v>4.4411873414169635E-4</v>
      </c>
      <c r="E25" s="22">
        <f t="shared" si="1"/>
        <v>18</v>
      </c>
      <c r="F25" s="20">
        <f>SUMIFS(Лист1!$H:$H,Лист1!$B:$B,$B25,Лист1!$I:$I,$C$4)</f>
        <v>78139.25</v>
      </c>
      <c r="G25" s="22">
        <f t="shared" si="2"/>
        <v>17</v>
      </c>
      <c r="H25" s="22">
        <f>COUNTIFS(Лист1!$B:$B,$B25,Лист1!$I:$I,$C$4)</f>
        <v>1</v>
      </c>
      <c r="I25" s="23">
        <f>IFERROR(AVERAGEIFS(Лист1!$E:$E,Лист1!$B:$B,$B25,Лист1!$I:$I,$C$4),0)</f>
        <v>6</v>
      </c>
      <c r="K25" s="24"/>
    </row>
    <row r="26" spans="2:14" x14ac:dyDescent="0.35">
      <c r="B26" s="49" t="s">
        <v>44</v>
      </c>
      <c r="C26" s="52">
        <f>SUM(C8:C25)</f>
        <v>1055653508.75385</v>
      </c>
      <c r="D26" s="53">
        <f>SUM(D8:D25)</f>
        <v>1</v>
      </c>
      <c r="E26" s="49"/>
      <c r="F26" s="52">
        <f>INDEX('1.2 Динамика'!$H$5:$H$10,MATCH($C$4,'1.2 Динамика'!$B$5:$B$10,0))</f>
        <v>1779489.1848684214</v>
      </c>
      <c r="G26" s="49"/>
      <c r="H26" s="49"/>
      <c r="I26" s="54">
        <f>SUM(I8:I25)</f>
        <v>613.28571428571422</v>
      </c>
      <c r="K26" s="24"/>
    </row>
    <row r="27" spans="2:14" x14ac:dyDescent="0.35">
      <c r="K27" s="24"/>
    </row>
  </sheetData>
  <conditionalFormatting sqref="B8:E25">
    <cfRule type="expression" dxfId="1" priority="1">
      <formula>$E8&lt;=3</formula>
    </cfRule>
  </conditionalFormatting>
  <conditionalFormatting sqref="F8:G25">
    <cfRule type="expression" dxfId="0" priority="2">
      <formula>$G8&lt;=3</formula>
    </cfRule>
  </conditionalFormatting>
  <dataValidations count="1">
    <dataValidation type="list" sqref="C4" xr:uid="{00000000-0002-0000-0300-000000000000}">
      <formula1>"18,19,20,21,22,23"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39"/>
  <sheetViews>
    <sheetView topLeftCell="A4" workbookViewId="0">
      <selection activeCell="F12" sqref="F12"/>
    </sheetView>
  </sheetViews>
  <sheetFormatPr defaultRowHeight="14.5" x14ac:dyDescent="0.35"/>
  <cols>
    <col min="1" max="1" width="2" style="6" customWidth="1"/>
    <col min="2" max="2" width="8" style="6" customWidth="1"/>
    <col min="3" max="3" width="22" style="6" customWidth="1"/>
    <col min="4" max="5" width="11" style="6" customWidth="1"/>
    <col min="6" max="6" width="9" style="6" customWidth="1"/>
    <col min="7" max="9" width="17" style="6" customWidth="1"/>
    <col min="10" max="11" width="3" style="6" customWidth="1"/>
    <col min="12" max="12" width="12" style="6" customWidth="1"/>
    <col min="13" max="13" width="8" style="6" customWidth="1"/>
    <col min="14" max="14" width="16" style="6" customWidth="1"/>
    <col min="15" max="15" width="10" style="6" customWidth="1"/>
    <col min="16" max="16" width="16" style="6" customWidth="1"/>
  </cols>
  <sheetData>
    <row r="2" spans="2:16" ht="18.5" x14ac:dyDescent="0.45">
      <c r="B2" s="33" t="s">
        <v>45</v>
      </c>
    </row>
    <row r="3" spans="2:16" x14ac:dyDescent="0.35">
      <c r="L3" s="35" t="s">
        <v>70</v>
      </c>
    </row>
    <row r="4" spans="2:16" ht="45" customHeight="1" x14ac:dyDescent="0.35">
      <c r="B4" s="39" t="s">
        <v>8</v>
      </c>
      <c r="C4" s="39" t="s">
        <v>46</v>
      </c>
      <c r="D4" s="39" t="s">
        <v>47</v>
      </c>
      <c r="E4" s="39" t="s">
        <v>48</v>
      </c>
      <c r="F4" s="39" t="s">
        <v>49</v>
      </c>
      <c r="G4" s="39" t="s">
        <v>3</v>
      </c>
      <c r="H4" s="39" t="s">
        <v>30</v>
      </c>
      <c r="I4" s="39" t="s">
        <v>50</v>
      </c>
      <c r="L4" s="39" t="s">
        <v>0</v>
      </c>
      <c r="M4" s="39" t="s">
        <v>8</v>
      </c>
      <c r="N4" s="39" t="s">
        <v>3</v>
      </c>
      <c r="O4" s="39" t="s">
        <v>51</v>
      </c>
      <c r="P4" s="39" t="s">
        <v>30</v>
      </c>
    </row>
    <row r="5" spans="2:16" x14ac:dyDescent="0.35">
      <c r="B5" s="19">
        <v>18</v>
      </c>
      <c r="C5" s="19" t="str">
        <f>VLOOKUP(B5,Лист1!I:K,3,0)</f>
        <v>Неделя 1 (29.04-03.05)</v>
      </c>
      <c r="D5" s="25">
        <v>43948</v>
      </c>
      <c r="E5" s="25">
        <f t="shared" ref="E5:E10" si="0">D5+6</f>
        <v>43954</v>
      </c>
      <c r="F5" s="19">
        <f t="shared" ref="F5:F10" si="1">COUNTIF($M$5:$M$39,B5)</f>
        <v>6</v>
      </c>
      <c r="G5" s="20">
        <f>SUMIFS(Лист1!$D:$D,Лист1!$I:$I,B5)</f>
        <v>836803032</v>
      </c>
      <c r="H5" s="20">
        <f t="shared" ref="H5:H10" si="2">SUMIFS($P$5:$P$39,$M$5:$M$39,B5)</f>
        <v>1497280.5627014809</v>
      </c>
      <c r="I5" s="20">
        <f t="shared" ref="I5:I10" si="3">IFERROR(G5/F5,0)</f>
        <v>139467172</v>
      </c>
      <c r="L5" s="25">
        <v>43949</v>
      </c>
      <c r="M5" s="19">
        <f t="shared" ref="M5:M39" si="4">WEEKNUM(L5,21)</f>
        <v>18</v>
      </c>
      <c r="N5" s="20">
        <f>SUMIFS(Лист1!$D:$D,Лист1!$A:$A,L5)</f>
        <v>136301602.5</v>
      </c>
      <c r="O5" s="20">
        <f>SUMIFS(Лист1!$E:$E,Лист1!$A:$A,L5)</f>
        <v>545</v>
      </c>
      <c r="P5" s="20">
        <f t="shared" ref="P5:P39" si="5">IFERROR(N5/O5,0)</f>
        <v>250094.68348623853</v>
      </c>
    </row>
    <row r="6" spans="2:16" x14ac:dyDescent="0.35">
      <c r="B6" s="19">
        <v>19</v>
      </c>
      <c r="C6" s="19" t="str">
        <f>VLOOKUP(B6,Лист1!I:K,3,0)</f>
        <v>Неделя 2 (04.05-10.05)</v>
      </c>
      <c r="D6" s="25">
        <v>43955</v>
      </c>
      <c r="E6" s="25">
        <f t="shared" si="0"/>
        <v>43961</v>
      </c>
      <c r="F6" s="19">
        <f t="shared" si="1"/>
        <v>7</v>
      </c>
      <c r="G6" s="20">
        <f>SUMIFS(Лист1!$D:$D,Лист1!$I:$I,B6)</f>
        <v>983915409.85664999</v>
      </c>
      <c r="H6" s="20">
        <f t="shared" si="2"/>
        <v>1731743.0383612507</v>
      </c>
      <c r="I6" s="20">
        <f t="shared" si="3"/>
        <v>140559344.26523572</v>
      </c>
      <c r="L6" s="25">
        <v>43950</v>
      </c>
      <c r="M6" s="19">
        <f t="shared" si="4"/>
        <v>18</v>
      </c>
      <c r="N6" s="20">
        <f>SUMIFS(Лист1!$D:$D,Лист1!$A:$A,L6)</f>
        <v>141455361</v>
      </c>
      <c r="O6" s="20">
        <f>SUMIFS(Лист1!$E:$E,Лист1!$A:$A,L6)</f>
        <v>546</v>
      </c>
      <c r="P6" s="20">
        <f t="shared" si="5"/>
        <v>259075.75274725276</v>
      </c>
    </row>
    <row r="7" spans="2:16" x14ac:dyDescent="0.35">
      <c r="B7" s="19">
        <v>20</v>
      </c>
      <c r="C7" s="19" t="str">
        <f>VLOOKUP(B7,Лист1!I:K,3,0)</f>
        <v>Неделя 3 (11.05-17.05)</v>
      </c>
      <c r="D7" s="25">
        <v>43962</v>
      </c>
      <c r="E7" s="25">
        <f t="shared" si="0"/>
        <v>43968</v>
      </c>
      <c r="F7" s="19">
        <f t="shared" si="1"/>
        <v>7</v>
      </c>
      <c r="G7" s="20">
        <f>SUMIFS(Лист1!$D:$D,Лист1!$I:$I,B7)</f>
        <v>947263006.72395003</v>
      </c>
      <c r="H7" s="20">
        <f t="shared" si="2"/>
        <v>1660131.234617247</v>
      </c>
      <c r="I7" s="20">
        <f t="shared" si="3"/>
        <v>135323286.67485002</v>
      </c>
      <c r="L7" s="25">
        <v>43951</v>
      </c>
      <c r="M7" s="19">
        <f t="shared" si="4"/>
        <v>18</v>
      </c>
      <c r="N7" s="20">
        <f>SUMIFS(Лист1!$D:$D,Лист1!$A:$A,L7)</f>
        <v>147288112.5</v>
      </c>
      <c r="O7" s="20">
        <f>SUMIFS(Лист1!$E:$E,Лист1!$A:$A,L7)</f>
        <v>566</v>
      </c>
      <c r="P7" s="20">
        <f t="shared" si="5"/>
        <v>260226.34717314487</v>
      </c>
    </row>
    <row r="8" spans="2:16" x14ac:dyDescent="0.35">
      <c r="B8" s="19">
        <v>21</v>
      </c>
      <c r="C8" s="19" t="str">
        <f>VLOOKUP(B8,Лист1!I:K,3,0)</f>
        <v>Неделя 4 (18.05-24.05)</v>
      </c>
      <c r="D8" s="25">
        <v>43969</v>
      </c>
      <c r="E8" s="25">
        <f t="shared" si="0"/>
        <v>43975</v>
      </c>
      <c r="F8" s="19">
        <f t="shared" si="1"/>
        <v>7</v>
      </c>
      <c r="G8" s="20">
        <f>SUMIFS(Лист1!$D:$D,Лист1!$I:$I,B8)</f>
        <v>1002691883.0466</v>
      </c>
      <c r="H8" s="20">
        <f t="shared" si="2"/>
        <v>1745761.0319047205</v>
      </c>
      <c r="I8" s="20">
        <f t="shared" si="3"/>
        <v>143241697.57808572</v>
      </c>
      <c r="L8" s="25">
        <v>43952</v>
      </c>
      <c r="M8" s="19">
        <f t="shared" si="4"/>
        <v>18</v>
      </c>
      <c r="N8" s="20">
        <f>SUMIFS(Лист1!$D:$D,Лист1!$A:$A,L8)</f>
        <v>153287005.5</v>
      </c>
      <c r="O8" s="20">
        <f>SUMIFS(Лист1!$E:$E,Лист1!$A:$A,L8)</f>
        <v>565</v>
      </c>
      <c r="P8" s="20">
        <f t="shared" si="5"/>
        <v>271304.43451327435</v>
      </c>
    </row>
    <row r="9" spans="2:16" x14ac:dyDescent="0.35">
      <c r="B9" s="19">
        <v>22</v>
      </c>
      <c r="C9" s="19" t="str">
        <f>VLOOKUP(B9,Лист1!I:K,3,0)</f>
        <v>Неделя 5 (25.05-31.05)</v>
      </c>
      <c r="D9" s="25">
        <v>43976</v>
      </c>
      <c r="E9" s="25">
        <f t="shared" si="0"/>
        <v>43982</v>
      </c>
      <c r="F9" s="19">
        <f t="shared" si="1"/>
        <v>7</v>
      </c>
      <c r="G9" s="20">
        <f>SUMIFS(Лист1!$D:$D,Лист1!$I:$I,B9)</f>
        <v>1055653508.75385</v>
      </c>
      <c r="H9" s="20">
        <f t="shared" si="2"/>
        <v>1779489.1848684214</v>
      </c>
      <c r="I9" s="20">
        <f t="shared" si="3"/>
        <v>150807644.10769287</v>
      </c>
      <c r="L9" s="25">
        <v>43953</v>
      </c>
      <c r="M9" s="19">
        <f t="shared" si="4"/>
        <v>18</v>
      </c>
      <c r="N9" s="20">
        <f>SUMIFS(Лист1!$D:$D,Лист1!$A:$A,L9)</f>
        <v>115694482.5</v>
      </c>
      <c r="O9" s="20">
        <f>SUMIFS(Лист1!$E:$E,Лист1!$A:$A,L9)</f>
        <v>565</v>
      </c>
      <c r="P9" s="20">
        <f t="shared" si="5"/>
        <v>204768.99557522123</v>
      </c>
    </row>
    <row r="10" spans="2:16" x14ac:dyDescent="0.35">
      <c r="B10" s="19">
        <v>23</v>
      </c>
      <c r="C10" s="19" t="str">
        <f>VLOOKUP(B10,Лист1!I:K,3,0)</f>
        <v>Неделя 6 (01.06.20)</v>
      </c>
      <c r="D10" s="25">
        <v>43983</v>
      </c>
      <c r="E10" s="25">
        <f t="shared" si="0"/>
        <v>43989</v>
      </c>
      <c r="F10" s="19">
        <f t="shared" si="1"/>
        <v>1</v>
      </c>
      <c r="G10" s="20">
        <f>SUMIFS(Лист1!$D:$D,Лист1!$I:$I,B10)</f>
        <v>136032376.68134999</v>
      </c>
      <c r="H10" s="20">
        <f t="shared" si="2"/>
        <v>221190.85639243902</v>
      </c>
      <c r="I10" s="20">
        <f t="shared" si="3"/>
        <v>136032376.68134999</v>
      </c>
      <c r="L10" s="25">
        <v>43954</v>
      </c>
      <c r="M10" s="19">
        <f t="shared" si="4"/>
        <v>18</v>
      </c>
      <c r="N10" s="20">
        <f>SUMIFS(Лист1!$D:$D,Лист1!$A:$A,L10)</f>
        <v>142776468</v>
      </c>
      <c r="O10" s="20">
        <f>SUMIFS(Лист1!$E:$E,Лист1!$A:$A,L10)</f>
        <v>567</v>
      </c>
      <c r="P10" s="20">
        <f t="shared" si="5"/>
        <v>251810.3492063492</v>
      </c>
    </row>
    <row r="11" spans="2:16" x14ac:dyDescent="0.35">
      <c r="B11" s="55" t="s">
        <v>52</v>
      </c>
      <c r="L11" s="25">
        <v>43955</v>
      </c>
      <c r="M11" s="19">
        <f t="shared" si="4"/>
        <v>19</v>
      </c>
      <c r="N11" s="20">
        <f>SUMIFS(Лист1!$D:$D,Лист1!$A:$A,L11)</f>
        <v>140185741.5</v>
      </c>
      <c r="O11" s="20">
        <f>SUMIFS(Лист1!$E:$E,Лист1!$A:$A,L11)</f>
        <v>567</v>
      </c>
      <c r="P11" s="20">
        <f t="shared" si="5"/>
        <v>247241.16666666666</v>
      </c>
    </row>
    <row r="12" spans="2:16" x14ac:dyDescent="0.35">
      <c r="B12" s="16"/>
      <c r="L12" s="25">
        <v>43956</v>
      </c>
      <c r="M12" s="19">
        <f t="shared" si="4"/>
        <v>19</v>
      </c>
      <c r="N12" s="20">
        <f>SUMIFS(Лист1!$D:$D,Лист1!$A:$A,L12)</f>
        <v>132474960.645</v>
      </c>
      <c r="O12" s="20">
        <f>SUMIFS(Лист1!$E:$E,Лист1!$A:$A,L12)</f>
        <v>567</v>
      </c>
      <c r="P12" s="20">
        <f t="shared" si="5"/>
        <v>233641.9058994709</v>
      </c>
    </row>
    <row r="13" spans="2:16" x14ac:dyDescent="0.35">
      <c r="L13" s="25">
        <v>43957</v>
      </c>
      <c r="M13" s="19">
        <f t="shared" si="4"/>
        <v>19</v>
      </c>
      <c r="N13" s="20">
        <f>SUMIFS(Лист1!$D:$D,Лист1!$A:$A,L13)</f>
        <v>137387736.1056</v>
      </c>
      <c r="O13" s="20">
        <f>SUMIFS(Лист1!$E:$E,Лист1!$A:$A,L13)</f>
        <v>567</v>
      </c>
      <c r="P13" s="20">
        <f t="shared" si="5"/>
        <v>242306.41288465608</v>
      </c>
    </row>
    <row r="14" spans="2:16" x14ac:dyDescent="0.35">
      <c r="L14" s="25">
        <v>43958</v>
      </c>
      <c r="M14" s="19">
        <f t="shared" si="4"/>
        <v>19</v>
      </c>
      <c r="N14" s="20">
        <f>SUMIFS(Лист1!$D:$D,Лист1!$A:$A,L14)</f>
        <v>129568665</v>
      </c>
      <c r="O14" s="20">
        <f>SUMIFS(Лист1!$E:$E,Лист1!$A:$A,L14)</f>
        <v>569</v>
      </c>
      <c r="P14" s="20">
        <f t="shared" si="5"/>
        <v>227712.94376098417</v>
      </c>
    </row>
    <row r="15" spans="2:16" x14ac:dyDescent="0.35">
      <c r="L15" s="25">
        <v>43959</v>
      </c>
      <c r="M15" s="19">
        <f t="shared" si="4"/>
        <v>19</v>
      </c>
      <c r="N15" s="20">
        <f>SUMIFS(Лист1!$D:$D,Лист1!$A:$A,L15)</f>
        <v>160031278.5</v>
      </c>
      <c r="O15" s="20">
        <f>SUMIFS(Лист1!$E:$E,Лист1!$A:$A,L15)</f>
        <v>569</v>
      </c>
      <c r="P15" s="20">
        <f t="shared" si="5"/>
        <v>281250.05008787347</v>
      </c>
    </row>
    <row r="16" spans="2:16" x14ac:dyDescent="0.35">
      <c r="L16" s="25">
        <v>43960</v>
      </c>
      <c r="M16" s="19">
        <f t="shared" si="4"/>
        <v>19</v>
      </c>
      <c r="N16" s="20">
        <f>SUMIFS(Лист1!$D:$D,Лист1!$A:$A,L16)</f>
        <v>134793781.5</v>
      </c>
      <c r="O16" s="20">
        <f>SUMIFS(Лист1!$E:$E,Лист1!$A:$A,L16)</f>
        <v>569</v>
      </c>
      <c r="P16" s="20">
        <f t="shared" si="5"/>
        <v>236895.9253075571</v>
      </c>
    </row>
    <row r="17" spans="12:16" x14ac:dyDescent="0.35">
      <c r="L17" s="25">
        <v>43961</v>
      </c>
      <c r="M17" s="19">
        <f t="shared" si="4"/>
        <v>19</v>
      </c>
      <c r="N17" s="20">
        <f>SUMIFS(Лист1!$D:$D,Лист1!$A:$A,L17)</f>
        <v>149473246.60605001</v>
      </c>
      <c r="O17" s="20">
        <f>SUMIFS(Лист1!$E:$E,Лист1!$A:$A,L17)</f>
        <v>569</v>
      </c>
      <c r="P17" s="20">
        <f t="shared" si="5"/>
        <v>262694.63375404221</v>
      </c>
    </row>
    <row r="18" spans="12:16" x14ac:dyDescent="0.35">
      <c r="L18" s="25">
        <v>43962</v>
      </c>
      <c r="M18" s="19">
        <f t="shared" si="4"/>
        <v>20</v>
      </c>
      <c r="N18" s="20">
        <f>SUMIFS(Лист1!$D:$D,Лист1!$A:$A,L18)</f>
        <v>120304300.72395</v>
      </c>
      <c r="O18" s="20">
        <f>SUMIFS(Лист1!$E:$E,Лист1!$A:$A,L18)</f>
        <v>570</v>
      </c>
      <c r="P18" s="20">
        <f t="shared" si="5"/>
        <v>211060.17670868422</v>
      </c>
    </row>
    <row r="19" spans="12:16" x14ac:dyDescent="0.35">
      <c r="L19" s="25">
        <v>43963</v>
      </c>
      <c r="M19" s="19">
        <f t="shared" si="4"/>
        <v>20</v>
      </c>
      <c r="N19" s="20">
        <f>SUMIFS(Лист1!$D:$D,Лист1!$A:$A,L19)</f>
        <v>132694509</v>
      </c>
      <c r="O19" s="20">
        <f>SUMIFS(Лист1!$E:$E,Лист1!$A:$A,L19)</f>
        <v>570</v>
      </c>
      <c r="P19" s="20">
        <f t="shared" si="5"/>
        <v>232797.3842105263</v>
      </c>
    </row>
    <row r="20" spans="12:16" x14ac:dyDescent="0.35">
      <c r="L20" s="25">
        <v>43964</v>
      </c>
      <c r="M20" s="19">
        <f t="shared" si="4"/>
        <v>20</v>
      </c>
      <c r="N20" s="20">
        <f>SUMIFS(Лист1!$D:$D,Лист1!$A:$A,L20)</f>
        <v>130000288.5</v>
      </c>
      <c r="O20" s="20">
        <f>SUMIFS(Лист1!$E:$E,Лист1!$A:$A,L20)</f>
        <v>570</v>
      </c>
      <c r="P20" s="20">
        <f t="shared" si="5"/>
        <v>228070.68157894738</v>
      </c>
    </row>
    <row r="21" spans="12:16" x14ac:dyDescent="0.35">
      <c r="L21" s="25">
        <v>43965</v>
      </c>
      <c r="M21" s="19">
        <f t="shared" si="4"/>
        <v>20</v>
      </c>
      <c r="N21" s="20">
        <f>SUMIFS(Лист1!$D:$D,Лист1!$A:$A,L21)</f>
        <v>130984834.5</v>
      </c>
      <c r="O21" s="20">
        <f>SUMIFS(Лист1!$E:$E,Лист1!$A:$A,L21)</f>
        <v>571</v>
      </c>
      <c r="P21" s="20">
        <f t="shared" si="5"/>
        <v>229395.50700525395</v>
      </c>
    </row>
    <row r="22" spans="12:16" x14ac:dyDescent="0.35">
      <c r="L22" s="25">
        <v>43966</v>
      </c>
      <c r="M22" s="19">
        <f t="shared" si="4"/>
        <v>20</v>
      </c>
      <c r="N22" s="20">
        <f>SUMIFS(Лист1!$D:$D,Лист1!$A:$A,L22)</f>
        <v>149748580.5</v>
      </c>
      <c r="O22" s="20">
        <f>SUMIFS(Лист1!$E:$E,Лист1!$A:$A,L22)</f>
        <v>571</v>
      </c>
      <c r="P22" s="20">
        <f t="shared" si="5"/>
        <v>262256.70840630471</v>
      </c>
    </row>
    <row r="23" spans="12:16" x14ac:dyDescent="0.35">
      <c r="L23" s="25">
        <v>43967</v>
      </c>
      <c r="M23" s="19">
        <f t="shared" si="4"/>
        <v>20</v>
      </c>
      <c r="N23" s="20">
        <f>SUMIFS(Лист1!$D:$D,Лист1!$A:$A,L23)</f>
        <v>153669910.5</v>
      </c>
      <c r="O23" s="20">
        <f>SUMIFS(Лист1!$E:$E,Лист1!$A:$A,L23)</f>
        <v>571</v>
      </c>
      <c r="P23" s="20">
        <f t="shared" si="5"/>
        <v>269124.18651488615</v>
      </c>
    </row>
    <row r="24" spans="12:16" x14ac:dyDescent="0.35">
      <c r="L24" s="25">
        <v>43968</v>
      </c>
      <c r="M24" s="19">
        <f t="shared" si="4"/>
        <v>20</v>
      </c>
      <c r="N24" s="20">
        <f>SUMIFS(Лист1!$D:$D,Лист1!$A:$A,L24)</f>
        <v>129860583</v>
      </c>
      <c r="O24" s="20">
        <f>SUMIFS(Лист1!$E:$E,Лист1!$A:$A,L24)</f>
        <v>571</v>
      </c>
      <c r="P24" s="20">
        <f t="shared" si="5"/>
        <v>227426.59019264448</v>
      </c>
    </row>
    <row r="25" spans="12:16" x14ac:dyDescent="0.35">
      <c r="L25" s="25">
        <v>43969</v>
      </c>
      <c r="M25" s="19">
        <f t="shared" si="4"/>
        <v>21</v>
      </c>
      <c r="N25" s="20">
        <f>SUMIFS(Лист1!$D:$D,Лист1!$A:$A,L25)</f>
        <v>132725520.1476</v>
      </c>
      <c r="O25" s="20">
        <f>SUMIFS(Лист1!$E:$E,Лист1!$A:$A,L25)</f>
        <v>572</v>
      </c>
      <c r="P25" s="20">
        <f t="shared" si="5"/>
        <v>232037.62263566433</v>
      </c>
    </row>
    <row r="26" spans="12:16" x14ac:dyDescent="0.35">
      <c r="L26" s="25">
        <v>43970</v>
      </c>
      <c r="M26" s="19">
        <f t="shared" si="4"/>
        <v>21</v>
      </c>
      <c r="N26" s="20">
        <f>SUMIFS(Лист1!$D:$D,Лист1!$A:$A,L26)</f>
        <v>136111162.5</v>
      </c>
      <c r="O26" s="20">
        <f>SUMIFS(Лист1!$E:$E,Лист1!$A:$A,L26)</f>
        <v>573</v>
      </c>
      <c r="P26" s="20">
        <f t="shared" si="5"/>
        <v>237541.29581151833</v>
      </c>
    </row>
    <row r="27" spans="12:16" x14ac:dyDescent="0.35">
      <c r="L27" s="25">
        <v>43971</v>
      </c>
      <c r="M27" s="19">
        <f t="shared" si="4"/>
        <v>21</v>
      </c>
      <c r="N27" s="20">
        <f>SUMIFS(Лист1!$D:$D,Лист1!$A:$A,L27)</f>
        <v>143599653.11745</v>
      </c>
      <c r="O27" s="20">
        <f>SUMIFS(Лист1!$E:$E,Лист1!$A:$A,L27)</f>
        <v>573</v>
      </c>
      <c r="P27" s="20">
        <f t="shared" si="5"/>
        <v>250610.21486465968</v>
      </c>
    </row>
    <row r="28" spans="12:16" x14ac:dyDescent="0.35">
      <c r="L28" s="25">
        <v>43972</v>
      </c>
      <c r="M28" s="19">
        <f t="shared" si="4"/>
        <v>21</v>
      </c>
      <c r="N28" s="20">
        <f>SUMIFS(Лист1!$D:$D,Лист1!$A:$A,L28)</f>
        <v>137748323.06999999</v>
      </c>
      <c r="O28" s="20">
        <f>SUMIFS(Лист1!$E:$E,Лист1!$A:$A,L28)</f>
        <v>575</v>
      </c>
      <c r="P28" s="20">
        <f t="shared" si="5"/>
        <v>239562.30099130434</v>
      </c>
    </row>
    <row r="29" spans="12:16" x14ac:dyDescent="0.35">
      <c r="L29" s="25">
        <v>43973</v>
      </c>
      <c r="M29" s="19">
        <f t="shared" si="4"/>
        <v>21</v>
      </c>
      <c r="N29" s="20">
        <f>SUMIFS(Лист1!$D:$D,Лист1!$A:$A,L29)</f>
        <v>145756311</v>
      </c>
      <c r="O29" s="20">
        <f>SUMIFS(Лист1!$E:$E,Лист1!$A:$A,L29)</f>
        <v>576</v>
      </c>
      <c r="P29" s="20">
        <f t="shared" si="5"/>
        <v>253049.15104166666</v>
      </c>
    </row>
    <row r="30" spans="12:16" x14ac:dyDescent="0.35">
      <c r="L30" s="25">
        <v>43974</v>
      </c>
      <c r="M30" s="19">
        <f t="shared" si="4"/>
        <v>21</v>
      </c>
      <c r="N30" s="20">
        <f>SUMIFS(Лист1!$D:$D,Лист1!$A:$A,L30)</f>
        <v>172026109.21155</v>
      </c>
      <c r="O30" s="20">
        <f>SUMIFS(Лист1!$E:$E,Лист1!$A:$A,L30)</f>
        <v>576</v>
      </c>
      <c r="P30" s="20">
        <f t="shared" si="5"/>
        <v>298656.4396033854</v>
      </c>
    </row>
    <row r="31" spans="12:16" x14ac:dyDescent="0.35">
      <c r="L31" s="25">
        <v>43975</v>
      </c>
      <c r="M31" s="19">
        <f t="shared" si="4"/>
        <v>21</v>
      </c>
      <c r="N31" s="20">
        <f>SUMIFS(Лист1!$D:$D,Лист1!$A:$A,L31)</f>
        <v>134724804</v>
      </c>
      <c r="O31" s="20">
        <f>SUMIFS(Лист1!$E:$E,Лист1!$A:$A,L31)</f>
        <v>575</v>
      </c>
      <c r="P31" s="20">
        <f t="shared" si="5"/>
        <v>234304.00695652174</v>
      </c>
    </row>
    <row r="32" spans="12:16" x14ac:dyDescent="0.35">
      <c r="L32" s="25">
        <v>43976</v>
      </c>
      <c r="M32" s="19">
        <f t="shared" si="4"/>
        <v>22</v>
      </c>
      <c r="N32" s="20">
        <f>SUMIFS(Лист1!$D:$D,Лист1!$A:$A,L32)</f>
        <v>134001730.5</v>
      </c>
      <c r="O32" s="20">
        <f>SUMIFS(Лист1!$E:$E,Лист1!$A:$A,L32)</f>
        <v>574</v>
      </c>
      <c r="P32" s="20">
        <f t="shared" si="5"/>
        <v>233452.49216027875</v>
      </c>
    </row>
    <row r="33" spans="12:16" x14ac:dyDescent="0.35">
      <c r="L33" s="25">
        <v>43977</v>
      </c>
      <c r="M33" s="19">
        <f t="shared" si="4"/>
        <v>22</v>
      </c>
      <c r="N33" s="20">
        <f>SUMIFS(Лист1!$D:$D,Лист1!$A:$A,L33)</f>
        <v>145457226.39884999</v>
      </c>
      <c r="O33" s="20">
        <f>SUMIFS(Лист1!$E:$E,Лист1!$A:$A,L33)</f>
        <v>581</v>
      </c>
      <c r="P33" s="20">
        <f t="shared" si="5"/>
        <v>250356.67194294318</v>
      </c>
    </row>
    <row r="34" spans="12:16" x14ac:dyDescent="0.35">
      <c r="L34" s="25">
        <v>43978</v>
      </c>
      <c r="M34" s="19">
        <f t="shared" si="4"/>
        <v>22</v>
      </c>
      <c r="N34" s="20">
        <f>SUMIFS(Лист1!$D:$D,Лист1!$A:$A,L34)</f>
        <v>142360972.5</v>
      </c>
      <c r="O34" s="20">
        <f>SUMIFS(Лист1!$E:$E,Лист1!$A:$A,L34)</f>
        <v>581</v>
      </c>
      <c r="P34" s="20">
        <f t="shared" si="5"/>
        <v>245027.49139414803</v>
      </c>
    </row>
    <row r="35" spans="12:16" x14ac:dyDescent="0.35">
      <c r="L35" s="25">
        <v>43979</v>
      </c>
      <c r="M35" s="19">
        <f t="shared" si="4"/>
        <v>22</v>
      </c>
      <c r="N35" s="20">
        <f>SUMIFS(Лист1!$D:$D,Лист1!$A:$A,L35)</f>
        <v>137780126.25</v>
      </c>
      <c r="O35" s="20">
        <f>SUMIFS(Лист1!$E:$E,Лист1!$A:$A,L35)</f>
        <v>600</v>
      </c>
      <c r="P35" s="20">
        <f t="shared" si="5"/>
        <v>229633.54375000001</v>
      </c>
    </row>
    <row r="36" spans="12:16" x14ac:dyDescent="0.35">
      <c r="L36" s="25">
        <v>43980</v>
      </c>
      <c r="M36" s="19">
        <f t="shared" si="4"/>
        <v>22</v>
      </c>
      <c r="N36" s="20">
        <f>SUMIFS(Лист1!$D:$D,Лист1!$A:$A,L36)</f>
        <v>177033319.60499999</v>
      </c>
      <c r="O36" s="20">
        <f>SUMIFS(Лист1!$E:$E,Лист1!$A:$A,L36)</f>
        <v>599</v>
      </c>
      <c r="P36" s="20">
        <f t="shared" si="5"/>
        <v>295548.11286310514</v>
      </c>
    </row>
    <row r="37" spans="12:16" x14ac:dyDescent="0.35">
      <c r="L37" s="25">
        <v>43981</v>
      </c>
      <c r="M37" s="19">
        <f t="shared" si="4"/>
        <v>22</v>
      </c>
      <c r="N37" s="20">
        <f>SUMIFS(Лист1!$D:$D,Лист1!$A:$A,L37)</f>
        <v>172891200</v>
      </c>
      <c r="O37" s="20">
        <f>SUMIFS(Лист1!$E:$E,Лист1!$A:$A,L37)</f>
        <v>599</v>
      </c>
      <c r="P37" s="20">
        <f t="shared" si="5"/>
        <v>288633.05509181973</v>
      </c>
    </row>
    <row r="38" spans="12:16" x14ac:dyDescent="0.35">
      <c r="L38" s="25">
        <v>43982</v>
      </c>
      <c r="M38" s="19">
        <f t="shared" si="4"/>
        <v>22</v>
      </c>
      <c r="N38" s="20">
        <f>SUMIFS(Лист1!$D:$D,Лист1!$A:$A,L38)</f>
        <v>146128933.5</v>
      </c>
      <c r="O38" s="20">
        <f>SUMIFS(Лист1!$E:$E,Лист1!$A:$A,L38)</f>
        <v>617</v>
      </c>
      <c r="P38" s="20">
        <f t="shared" si="5"/>
        <v>236837.81766612642</v>
      </c>
    </row>
    <row r="39" spans="12:16" x14ac:dyDescent="0.35">
      <c r="L39" s="25">
        <v>43983</v>
      </c>
      <c r="M39" s="19">
        <f t="shared" si="4"/>
        <v>23</v>
      </c>
      <c r="N39" s="20">
        <f>SUMIFS(Лист1!$D:$D,Лист1!$A:$A,L39)</f>
        <v>136032376.68134999</v>
      </c>
      <c r="O39" s="20">
        <f>SUMIFS(Лист1!$E:$E,Лист1!$A:$A,L39)</f>
        <v>615</v>
      </c>
      <c r="P39" s="20">
        <f t="shared" si="5"/>
        <v>221190.85639243902</v>
      </c>
    </row>
  </sheetData>
  <pageMargins left="0.75" right="0.75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1.1 Сводная таблица</vt:lpstr>
      <vt:lpstr>1.1.а Топ-3</vt:lpstr>
      <vt:lpstr>1.2 Динамика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ROG STRIX</cp:lastModifiedBy>
  <cp:lastPrinted>2026-09-28T09:56:00Z</cp:lastPrinted>
  <dcterms:created xsi:type="dcterms:W3CDTF">2021-09-13T10:17:58Z</dcterms:created>
  <dcterms:modified xsi:type="dcterms:W3CDTF">2026-09-28T10:31:38Z</dcterms:modified>
</cp:coreProperties>
</file>