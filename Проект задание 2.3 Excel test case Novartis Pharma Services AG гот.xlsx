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G STRIX\Downloads\"/>
    </mc:Choice>
  </mc:AlternateContent>
  <xr:revisionPtr revIDLastSave="0" documentId="13_ncr:1_{411FF107-F7DD-476E-8317-3A7A93147E41}" xr6:coauthVersionLast="45" xr6:coauthVersionMax="45" xr10:uidLastSave="{00000000-0000-0000-0000-000000000000}"/>
  <bookViews>
    <workbookView xWindow="-110" yWindow="-110" windowWidth="25820" windowHeight="15500" xr2:uid="{00000000-000D-0000-FFFF-FFFF00000000}"/>
  </bookViews>
  <sheets>
    <sheet name="Лист ответов" sheetId="1" r:id="rId1"/>
    <sheet name="База данных" sheetId="2" r:id="rId2"/>
    <sheet name="Расчёт по абонентам" sheetId="3" r:id="rId3"/>
  </sheets>
  <definedNames>
    <definedName name="_xlnm._FilterDatabase" localSheetId="1" hidden="1">'База данных'!$A$1:$E$1</definedName>
    <definedName name="_xlnm._FilterDatabase" localSheetId="2" hidden="1">'Расчёт по абонентам'!$A$1:$F$1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1" l="1"/>
  <c r="D3" i="1"/>
  <c r="D4" i="1"/>
  <c r="D26" i="1" l="1"/>
  <c r="F26" i="1" s="1"/>
  <c r="C27" i="1" s="1"/>
  <c r="D293" i="3"/>
  <c r="C293" i="3"/>
  <c r="B293" i="3"/>
  <c r="E293" i="3" s="1"/>
  <c r="D292" i="3"/>
  <c r="C292" i="3"/>
  <c r="B292" i="3"/>
  <c r="E292" i="3" s="1"/>
  <c r="D291" i="3"/>
  <c r="C291" i="3"/>
  <c r="B291" i="3"/>
  <c r="E291" i="3" s="1"/>
  <c r="D290" i="3"/>
  <c r="C290" i="3"/>
  <c r="B290" i="3"/>
  <c r="E290" i="3" s="1"/>
  <c r="D289" i="3"/>
  <c r="C289" i="3"/>
  <c r="B289" i="3"/>
  <c r="E289" i="3" s="1"/>
  <c r="D288" i="3"/>
  <c r="C288" i="3"/>
  <c r="B288" i="3"/>
  <c r="E288" i="3" s="1"/>
  <c r="E287" i="3"/>
  <c r="D287" i="3"/>
  <c r="C287" i="3"/>
  <c r="B287" i="3"/>
  <c r="D286" i="3"/>
  <c r="C286" i="3"/>
  <c r="B286" i="3"/>
  <c r="E286" i="3" s="1"/>
  <c r="E285" i="3"/>
  <c r="D285" i="3"/>
  <c r="C285" i="3"/>
  <c r="B285" i="3"/>
  <c r="D284" i="3"/>
  <c r="C284" i="3"/>
  <c r="B284" i="3"/>
  <c r="E284" i="3" s="1"/>
  <c r="E283" i="3"/>
  <c r="D283" i="3"/>
  <c r="C283" i="3"/>
  <c r="B283" i="3"/>
  <c r="D282" i="3"/>
  <c r="C282" i="3"/>
  <c r="B282" i="3"/>
  <c r="E282" i="3" s="1"/>
  <c r="D281" i="3"/>
  <c r="C281" i="3"/>
  <c r="B281" i="3"/>
  <c r="E281" i="3" s="1"/>
  <c r="D280" i="3"/>
  <c r="C280" i="3"/>
  <c r="B280" i="3"/>
  <c r="E280" i="3" s="1"/>
  <c r="D279" i="3"/>
  <c r="C279" i="3"/>
  <c r="B279" i="3"/>
  <c r="E279" i="3" s="1"/>
  <c r="D278" i="3"/>
  <c r="C278" i="3"/>
  <c r="B278" i="3"/>
  <c r="E278" i="3" s="1"/>
  <c r="E277" i="3"/>
  <c r="D277" i="3"/>
  <c r="C277" i="3"/>
  <c r="B277" i="3"/>
  <c r="D276" i="3"/>
  <c r="C276" i="3"/>
  <c r="B276" i="3"/>
  <c r="E276" i="3" s="1"/>
  <c r="D275" i="3"/>
  <c r="C275" i="3"/>
  <c r="B275" i="3"/>
  <c r="E275" i="3" s="1"/>
  <c r="E274" i="3"/>
  <c r="D274" i="3"/>
  <c r="C274" i="3"/>
  <c r="B274" i="3"/>
  <c r="D273" i="3"/>
  <c r="C273" i="3"/>
  <c r="B273" i="3"/>
  <c r="E273" i="3" s="1"/>
  <c r="E272" i="3"/>
  <c r="D272" i="3"/>
  <c r="C272" i="3"/>
  <c r="B272" i="3"/>
  <c r="D271" i="3"/>
  <c r="C271" i="3"/>
  <c r="B271" i="3"/>
  <c r="E271" i="3" s="1"/>
  <c r="D270" i="3"/>
  <c r="C270" i="3"/>
  <c r="B270" i="3"/>
  <c r="E270" i="3" s="1"/>
  <c r="D269" i="3"/>
  <c r="C269" i="3"/>
  <c r="B269" i="3"/>
  <c r="E269" i="3" s="1"/>
  <c r="E268" i="3"/>
  <c r="D268" i="3"/>
  <c r="C268" i="3"/>
  <c r="B268" i="3"/>
  <c r="D267" i="3"/>
  <c r="C267" i="3"/>
  <c r="B267" i="3"/>
  <c r="E267" i="3" s="1"/>
  <c r="E266" i="3"/>
  <c r="D266" i="3"/>
  <c r="C266" i="3"/>
  <c r="B266" i="3"/>
  <c r="D265" i="3"/>
  <c r="C265" i="3"/>
  <c r="B265" i="3"/>
  <c r="E265" i="3" s="1"/>
  <c r="E264" i="3"/>
  <c r="D264" i="3"/>
  <c r="C264" i="3"/>
  <c r="B264" i="3"/>
  <c r="D263" i="3"/>
  <c r="C263" i="3"/>
  <c r="B263" i="3"/>
  <c r="E263" i="3" s="1"/>
  <c r="D262" i="3"/>
  <c r="C262" i="3"/>
  <c r="B262" i="3"/>
  <c r="E262" i="3" s="1"/>
  <c r="E261" i="3"/>
  <c r="D261" i="3"/>
  <c r="C261" i="3"/>
  <c r="B261" i="3"/>
  <c r="D260" i="3"/>
  <c r="C260" i="3"/>
  <c r="B260" i="3"/>
  <c r="E260" i="3" s="1"/>
  <c r="D259" i="3"/>
  <c r="C259" i="3"/>
  <c r="B259" i="3"/>
  <c r="E259" i="3" s="1"/>
  <c r="D258" i="3"/>
  <c r="C258" i="3"/>
  <c r="B258" i="3"/>
  <c r="E258" i="3" s="1"/>
  <c r="D257" i="3"/>
  <c r="C257" i="3"/>
  <c r="B257" i="3"/>
  <c r="E257" i="3" s="1"/>
  <c r="D256" i="3"/>
  <c r="C256" i="3"/>
  <c r="B256" i="3"/>
  <c r="E256" i="3" s="1"/>
  <c r="E255" i="3"/>
  <c r="D255" i="3"/>
  <c r="C255" i="3"/>
  <c r="B255" i="3"/>
  <c r="D254" i="3"/>
  <c r="C254" i="3"/>
  <c r="B254" i="3"/>
  <c r="E254" i="3" s="1"/>
  <c r="E253" i="3"/>
  <c r="D253" i="3"/>
  <c r="C253" i="3"/>
  <c r="B253" i="3"/>
  <c r="D252" i="3"/>
  <c r="C252" i="3"/>
  <c r="B252" i="3"/>
  <c r="E252" i="3" s="1"/>
  <c r="E251" i="3"/>
  <c r="D251" i="3"/>
  <c r="C251" i="3"/>
  <c r="B251" i="3"/>
  <c r="D250" i="3"/>
  <c r="C250" i="3"/>
  <c r="B250" i="3"/>
  <c r="E250" i="3" s="1"/>
  <c r="D249" i="3"/>
  <c r="C249" i="3"/>
  <c r="B249" i="3"/>
  <c r="E249" i="3" s="1"/>
  <c r="D248" i="3"/>
  <c r="C248" i="3"/>
  <c r="B248" i="3"/>
  <c r="E248" i="3" s="1"/>
  <c r="D247" i="3"/>
  <c r="C247" i="3"/>
  <c r="B247" i="3"/>
  <c r="E247" i="3" s="1"/>
  <c r="D246" i="3"/>
  <c r="C246" i="3"/>
  <c r="B246" i="3"/>
  <c r="E246" i="3" s="1"/>
  <c r="E245" i="3"/>
  <c r="D245" i="3"/>
  <c r="C245" i="3"/>
  <c r="B245" i="3"/>
  <c r="D244" i="3"/>
  <c r="C244" i="3"/>
  <c r="B244" i="3"/>
  <c r="E244" i="3" s="1"/>
  <c r="D243" i="3"/>
  <c r="C243" i="3"/>
  <c r="B243" i="3"/>
  <c r="E243" i="3" s="1"/>
  <c r="E242" i="3"/>
  <c r="D242" i="3"/>
  <c r="C242" i="3"/>
  <c r="B242" i="3"/>
  <c r="D241" i="3"/>
  <c r="C241" i="3"/>
  <c r="B241" i="3"/>
  <c r="E241" i="3" s="1"/>
  <c r="E240" i="3"/>
  <c r="D240" i="3"/>
  <c r="C240" i="3"/>
  <c r="B240" i="3"/>
  <c r="D239" i="3"/>
  <c r="C239" i="3"/>
  <c r="B239" i="3"/>
  <c r="E239" i="3" s="1"/>
  <c r="D238" i="3"/>
  <c r="C238" i="3"/>
  <c r="B238" i="3"/>
  <c r="E238" i="3" s="1"/>
  <c r="D237" i="3"/>
  <c r="C237" i="3"/>
  <c r="B237" i="3"/>
  <c r="E237" i="3" s="1"/>
  <c r="D236" i="3"/>
  <c r="C236" i="3"/>
  <c r="B236" i="3"/>
  <c r="E236" i="3" s="1"/>
  <c r="D235" i="3"/>
  <c r="C235" i="3"/>
  <c r="B235" i="3"/>
  <c r="E235" i="3" s="1"/>
  <c r="E234" i="3"/>
  <c r="D234" i="3"/>
  <c r="C234" i="3"/>
  <c r="B234" i="3"/>
  <c r="D233" i="3"/>
  <c r="C233" i="3"/>
  <c r="B233" i="3"/>
  <c r="E233" i="3" s="1"/>
  <c r="E232" i="3"/>
  <c r="D232" i="3"/>
  <c r="C232" i="3"/>
  <c r="B232" i="3"/>
  <c r="D231" i="3"/>
  <c r="C231" i="3"/>
  <c r="B231" i="3"/>
  <c r="E231" i="3" s="1"/>
  <c r="D230" i="3"/>
  <c r="C230" i="3"/>
  <c r="B230" i="3"/>
  <c r="E230" i="3" s="1"/>
  <c r="E229" i="3"/>
  <c r="D229" i="3"/>
  <c r="C229" i="3"/>
  <c r="B229" i="3"/>
  <c r="D228" i="3"/>
  <c r="C228" i="3"/>
  <c r="B228" i="3"/>
  <c r="E228" i="3" s="1"/>
  <c r="D227" i="3"/>
  <c r="C227" i="3"/>
  <c r="B227" i="3"/>
  <c r="E227" i="3" s="1"/>
  <c r="D226" i="3"/>
  <c r="C226" i="3"/>
  <c r="B226" i="3"/>
  <c r="E226" i="3" s="1"/>
  <c r="D225" i="3"/>
  <c r="C225" i="3"/>
  <c r="B225" i="3"/>
  <c r="E225" i="3" s="1"/>
  <c r="D224" i="3"/>
  <c r="C224" i="3"/>
  <c r="B224" i="3"/>
  <c r="E224" i="3" s="1"/>
  <c r="E223" i="3"/>
  <c r="D223" i="3"/>
  <c r="C223" i="3"/>
  <c r="B223" i="3"/>
  <c r="D222" i="3"/>
  <c r="C222" i="3"/>
  <c r="B222" i="3"/>
  <c r="E222" i="3" s="1"/>
  <c r="D221" i="3"/>
  <c r="E221" i="3" s="1"/>
  <c r="C221" i="3"/>
  <c r="B221" i="3"/>
  <c r="D220" i="3"/>
  <c r="C220" i="3"/>
  <c r="B220" i="3"/>
  <c r="E220" i="3" s="1"/>
  <c r="E219" i="3"/>
  <c r="D219" i="3"/>
  <c r="C219" i="3"/>
  <c r="B219" i="3"/>
  <c r="D218" i="3"/>
  <c r="C218" i="3"/>
  <c r="B218" i="3"/>
  <c r="E218" i="3" s="1"/>
  <c r="D217" i="3"/>
  <c r="C217" i="3"/>
  <c r="B217" i="3"/>
  <c r="D216" i="3"/>
  <c r="C216" i="3"/>
  <c r="B216" i="3"/>
  <c r="E216" i="3" s="1"/>
  <c r="D215" i="3"/>
  <c r="C215" i="3"/>
  <c r="B215" i="3"/>
  <c r="E215" i="3" s="1"/>
  <c r="D214" i="3"/>
  <c r="C214" i="3"/>
  <c r="B214" i="3"/>
  <c r="E214" i="3" s="1"/>
  <c r="D213" i="3"/>
  <c r="E213" i="3" s="1"/>
  <c r="C213" i="3"/>
  <c r="B213" i="3"/>
  <c r="D212" i="3"/>
  <c r="C212" i="3"/>
  <c r="B212" i="3"/>
  <c r="E212" i="3" s="1"/>
  <c r="D211" i="3"/>
  <c r="C211" i="3"/>
  <c r="B211" i="3"/>
  <c r="E211" i="3" s="1"/>
  <c r="D210" i="3"/>
  <c r="E210" i="3" s="1"/>
  <c r="C210" i="3"/>
  <c r="B210" i="3"/>
  <c r="D209" i="3"/>
  <c r="C209" i="3"/>
  <c r="B209" i="3"/>
  <c r="E209" i="3" s="1"/>
  <c r="E208" i="3"/>
  <c r="D208" i="3"/>
  <c r="C208" i="3"/>
  <c r="B208" i="3"/>
  <c r="D207" i="3"/>
  <c r="C207" i="3"/>
  <c r="B207" i="3"/>
  <c r="E207" i="3" s="1"/>
  <c r="D206" i="3"/>
  <c r="C206" i="3"/>
  <c r="B206" i="3"/>
  <c r="E206" i="3" s="1"/>
  <c r="D205" i="3"/>
  <c r="C205" i="3"/>
  <c r="B205" i="3"/>
  <c r="E205" i="3" s="1"/>
  <c r="D204" i="3"/>
  <c r="E204" i="3" s="1"/>
  <c r="C204" i="3"/>
  <c r="B204" i="3"/>
  <c r="D203" i="3"/>
  <c r="C203" i="3"/>
  <c r="B203" i="3"/>
  <c r="E203" i="3" s="1"/>
  <c r="D202" i="3"/>
  <c r="E202" i="3" s="1"/>
  <c r="C202" i="3"/>
  <c r="B202" i="3"/>
  <c r="D201" i="3"/>
  <c r="C201" i="3"/>
  <c r="B201" i="3"/>
  <c r="E201" i="3" s="1"/>
  <c r="D200" i="3"/>
  <c r="E200" i="3" s="1"/>
  <c r="C200" i="3"/>
  <c r="B200" i="3"/>
  <c r="D199" i="3"/>
  <c r="C199" i="3"/>
  <c r="B199" i="3"/>
  <c r="E199" i="3" s="1"/>
  <c r="D198" i="3"/>
  <c r="C198" i="3"/>
  <c r="B198" i="3"/>
  <c r="E198" i="3" s="1"/>
  <c r="E197" i="3"/>
  <c r="D197" i="3"/>
  <c r="C197" i="3"/>
  <c r="B197" i="3"/>
  <c r="D196" i="3"/>
  <c r="C196" i="3"/>
  <c r="B196" i="3"/>
  <c r="E196" i="3" s="1"/>
  <c r="D195" i="3"/>
  <c r="C195" i="3"/>
  <c r="B195" i="3"/>
  <c r="E195" i="3" s="1"/>
  <c r="D194" i="3"/>
  <c r="C194" i="3"/>
  <c r="B194" i="3"/>
  <c r="E194" i="3" s="1"/>
  <c r="D193" i="3"/>
  <c r="C193" i="3"/>
  <c r="B193" i="3"/>
  <c r="E193" i="3" s="1"/>
  <c r="D192" i="3"/>
  <c r="C192" i="3"/>
  <c r="B192" i="3"/>
  <c r="E192" i="3" s="1"/>
  <c r="D191" i="3"/>
  <c r="E191" i="3" s="1"/>
  <c r="C191" i="3"/>
  <c r="F191" i="3" s="1"/>
  <c r="B191" i="3"/>
  <c r="D190" i="3"/>
  <c r="C190" i="3"/>
  <c r="B190" i="3"/>
  <c r="E190" i="3" s="1"/>
  <c r="D189" i="3"/>
  <c r="E189" i="3" s="1"/>
  <c r="C189" i="3"/>
  <c r="B189" i="3"/>
  <c r="D188" i="3"/>
  <c r="C188" i="3"/>
  <c r="B188" i="3"/>
  <c r="E188" i="3" s="1"/>
  <c r="E187" i="3"/>
  <c r="D187" i="3"/>
  <c r="C187" i="3"/>
  <c r="B187" i="3"/>
  <c r="D186" i="3"/>
  <c r="C186" i="3"/>
  <c r="B186" i="3"/>
  <c r="E186" i="3" s="1"/>
  <c r="D185" i="3"/>
  <c r="C185" i="3"/>
  <c r="B185" i="3"/>
  <c r="D184" i="3"/>
  <c r="C184" i="3"/>
  <c r="B184" i="3"/>
  <c r="E184" i="3" s="1"/>
  <c r="D183" i="3"/>
  <c r="C183" i="3"/>
  <c r="B183" i="3"/>
  <c r="E183" i="3" s="1"/>
  <c r="D182" i="3"/>
  <c r="C182" i="3"/>
  <c r="B182" i="3"/>
  <c r="E182" i="3" s="1"/>
  <c r="D181" i="3"/>
  <c r="E181" i="3" s="1"/>
  <c r="C181" i="3"/>
  <c r="B181" i="3"/>
  <c r="D180" i="3"/>
  <c r="C180" i="3"/>
  <c r="B180" i="3"/>
  <c r="E180" i="3" s="1"/>
  <c r="D179" i="3"/>
  <c r="C179" i="3"/>
  <c r="B179" i="3"/>
  <c r="E179" i="3" s="1"/>
  <c r="D178" i="3"/>
  <c r="E178" i="3" s="1"/>
  <c r="C178" i="3"/>
  <c r="B178" i="3"/>
  <c r="D177" i="3"/>
  <c r="C177" i="3"/>
  <c r="B177" i="3"/>
  <c r="E177" i="3" s="1"/>
  <c r="E176" i="3"/>
  <c r="D176" i="3"/>
  <c r="C176" i="3"/>
  <c r="B176" i="3"/>
  <c r="D175" i="3"/>
  <c r="C175" i="3"/>
  <c r="B175" i="3"/>
  <c r="E175" i="3" s="1"/>
  <c r="D174" i="3"/>
  <c r="C174" i="3"/>
  <c r="B174" i="3"/>
  <c r="E174" i="3" s="1"/>
  <c r="D173" i="3"/>
  <c r="C173" i="3"/>
  <c r="B173" i="3"/>
  <c r="E173" i="3" s="1"/>
  <c r="D172" i="3"/>
  <c r="C172" i="3"/>
  <c r="B172" i="3"/>
  <c r="E172" i="3" s="1"/>
  <c r="D171" i="3"/>
  <c r="C171" i="3"/>
  <c r="B171" i="3"/>
  <c r="E171" i="3" s="1"/>
  <c r="D170" i="3"/>
  <c r="E170" i="3" s="1"/>
  <c r="C170" i="3"/>
  <c r="B170" i="3"/>
  <c r="D169" i="3"/>
  <c r="C169" i="3"/>
  <c r="B169" i="3"/>
  <c r="E169" i="3" s="1"/>
  <c r="D168" i="3"/>
  <c r="E168" i="3" s="1"/>
  <c r="C168" i="3"/>
  <c r="B168" i="3"/>
  <c r="D167" i="3"/>
  <c r="C167" i="3"/>
  <c r="B167" i="3"/>
  <c r="E167" i="3" s="1"/>
  <c r="D166" i="3"/>
  <c r="C166" i="3"/>
  <c r="B166" i="3"/>
  <c r="E166" i="3" s="1"/>
  <c r="E165" i="3"/>
  <c r="D165" i="3"/>
  <c r="C165" i="3"/>
  <c r="B165" i="3"/>
  <c r="D164" i="3"/>
  <c r="C164" i="3"/>
  <c r="B164" i="3"/>
  <c r="E164" i="3" s="1"/>
  <c r="D163" i="3"/>
  <c r="C163" i="3"/>
  <c r="B163" i="3"/>
  <c r="E163" i="3" s="1"/>
  <c r="D162" i="3"/>
  <c r="C162" i="3"/>
  <c r="B162" i="3"/>
  <c r="E162" i="3" s="1"/>
  <c r="D161" i="3"/>
  <c r="C161" i="3"/>
  <c r="B161" i="3"/>
  <c r="E161" i="3" s="1"/>
  <c r="D160" i="3"/>
  <c r="C160" i="3"/>
  <c r="B160" i="3"/>
  <c r="E160" i="3" s="1"/>
  <c r="E159" i="3"/>
  <c r="D159" i="3"/>
  <c r="C159" i="3"/>
  <c r="F159" i="3" s="1"/>
  <c r="B159" i="3"/>
  <c r="D158" i="3"/>
  <c r="C158" i="3"/>
  <c r="B158" i="3"/>
  <c r="E158" i="3" s="1"/>
  <c r="D157" i="3"/>
  <c r="E157" i="3" s="1"/>
  <c r="C157" i="3"/>
  <c r="B157" i="3"/>
  <c r="D156" i="3"/>
  <c r="C156" i="3"/>
  <c r="F156" i="3" s="1"/>
  <c r="B156" i="3"/>
  <c r="E156" i="3" s="1"/>
  <c r="E155" i="3"/>
  <c r="D155" i="3"/>
  <c r="C155" i="3"/>
  <c r="B155" i="3"/>
  <c r="D154" i="3"/>
  <c r="C154" i="3"/>
  <c r="B154" i="3"/>
  <c r="E154" i="3" s="1"/>
  <c r="D153" i="3"/>
  <c r="C153" i="3"/>
  <c r="B153" i="3"/>
  <c r="E153" i="3" s="1"/>
  <c r="D152" i="3"/>
  <c r="C152" i="3"/>
  <c r="B152" i="3"/>
  <c r="E152" i="3" s="1"/>
  <c r="D151" i="3"/>
  <c r="C151" i="3"/>
  <c r="B151" i="3"/>
  <c r="E151" i="3" s="1"/>
  <c r="D150" i="3"/>
  <c r="C150" i="3"/>
  <c r="B150" i="3"/>
  <c r="E150" i="3" s="1"/>
  <c r="E149" i="3"/>
  <c r="D149" i="3"/>
  <c r="C149" i="3"/>
  <c r="B149" i="3"/>
  <c r="D148" i="3"/>
  <c r="C148" i="3"/>
  <c r="B148" i="3"/>
  <c r="E148" i="3" s="1"/>
  <c r="D147" i="3"/>
  <c r="C147" i="3"/>
  <c r="B147" i="3"/>
  <c r="E147" i="3" s="1"/>
  <c r="E146" i="3"/>
  <c r="D146" i="3"/>
  <c r="C146" i="3"/>
  <c r="B146" i="3"/>
  <c r="D145" i="3"/>
  <c r="C145" i="3"/>
  <c r="B145" i="3"/>
  <c r="E145" i="3" s="1"/>
  <c r="E144" i="3"/>
  <c r="D144" i="3"/>
  <c r="C144" i="3"/>
  <c r="B144" i="3"/>
  <c r="D143" i="3"/>
  <c r="C143" i="3"/>
  <c r="B143" i="3"/>
  <c r="E143" i="3" s="1"/>
  <c r="D142" i="3"/>
  <c r="C142" i="3"/>
  <c r="B142" i="3"/>
  <c r="E142" i="3" s="1"/>
  <c r="D141" i="3"/>
  <c r="C141" i="3"/>
  <c r="B141" i="3"/>
  <c r="E141" i="3" s="1"/>
  <c r="D140" i="3"/>
  <c r="C140" i="3"/>
  <c r="B140" i="3"/>
  <c r="E140" i="3" s="1"/>
  <c r="D139" i="3"/>
  <c r="C139" i="3"/>
  <c r="B139" i="3"/>
  <c r="E139" i="3" s="1"/>
  <c r="E138" i="3"/>
  <c r="D138" i="3"/>
  <c r="C138" i="3"/>
  <c r="B138" i="3"/>
  <c r="D137" i="3"/>
  <c r="C137" i="3"/>
  <c r="B137" i="3"/>
  <c r="E137" i="3" s="1"/>
  <c r="E136" i="3"/>
  <c r="D136" i="3"/>
  <c r="C136" i="3"/>
  <c r="B136" i="3"/>
  <c r="D135" i="3"/>
  <c r="C135" i="3"/>
  <c r="B135" i="3"/>
  <c r="E135" i="3" s="1"/>
  <c r="D134" i="3"/>
  <c r="C134" i="3"/>
  <c r="B134" i="3"/>
  <c r="E134" i="3" s="1"/>
  <c r="E133" i="3"/>
  <c r="D133" i="3"/>
  <c r="C133" i="3"/>
  <c r="B133" i="3"/>
  <c r="D132" i="3"/>
  <c r="C132" i="3"/>
  <c r="B132" i="3"/>
  <c r="E132" i="3" s="1"/>
  <c r="D131" i="3"/>
  <c r="C131" i="3"/>
  <c r="B131" i="3"/>
  <c r="E131" i="3" s="1"/>
  <c r="D130" i="3"/>
  <c r="C130" i="3"/>
  <c r="B130" i="3"/>
  <c r="E130" i="3" s="1"/>
  <c r="D129" i="3"/>
  <c r="C129" i="3"/>
  <c r="B129" i="3"/>
  <c r="E129" i="3" s="1"/>
  <c r="D128" i="3"/>
  <c r="C128" i="3"/>
  <c r="B128" i="3"/>
  <c r="E128" i="3" s="1"/>
  <c r="E127" i="3"/>
  <c r="D127" i="3"/>
  <c r="C127" i="3"/>
  <c r="F127" i="3" s="1"/>
  <c r="B127" i="3"/>
  <c r="D126" i="3"/>
  <c r="C126" i="3"/>
  <c r="B126" i="3"/>
  <c r="E126" i="3" s="1"/>
  <c r="E125" i="3"/>
  <c r="D125" i="3"/>
  <c r="C125" i="3"/>
  <c r="B125" i="3"/>
  <c r="D124" i="3"/>
  <c r="C124" i="3"/>
  <c r="B124" i="3"/>
  <c r="E124" i="3" s="1"/>
  <c r="E123" i="3"/>
  <c r="D123" i="3"/>
  <c r="C123" i="3"/>
  <c r="B123" i="3"/>
  <c r="D122" i="3"/>
  <c r="C122" i="3"/>
  <c r="B122" i="3"/>
  <c r="E122" i="3" s="1"/>
  <c r="D121" i="3"/>
  <c r="C121" i="3"/>
  <c r="B121" i="3"/>
  <c r="E121" i="3" s="1"/>
  <c r="D120" i="3"/>
  <c r="C120" i="3"/>
  <c r="B120" i="3"/>
  <c r="E120" i="3" s="1"/>
  <c r="D119" i="3"/>
  <c r="C119" i="3"/>
  <c r="B119" i="3"/>
  <c r="E119" i="3" s="1"/>
  <c r="D118" i="3"/>
  <c r="C118" i="3"/>
  <c r="B118" i="3"/>
  <c r="E118" i="3" s="1"/>
  <c r="E117" i="3"/>
  <c r="D117" i="3"/>
  <c r="C117" i="3"/>
  <c r="B117" i="3"/>
  <c r="D116" i="3"/>
  <c r="C116" i="3"/>
  <c r="B116" i="3"/>
  <c r="E116" i="3" s="1"/>
  <c r="D115" i="3"/>
  <c r="C115" i="3"/>
  <c r="B115" i="3"/>
  <c r="E115" i="3" s="1"/>
  <c r="E114" i="3"/>
  <c r="D114" i="3"/>
  <c r="C114" i="3"/>
  <c r="B114" i="3"/>
  <c r="D113" i="3"/>
  <c r="C113" i="3"/>
  <c r="B113" i="3"/>
  <c r="E113" i="3" s="1"/>
  <c r="E112" i="3"/>
  <c r="D112" i="3"/>
  <c r="C112" i="3"/>
  <c r="B112" i="3"/>
  <c r="D111" i="3"/>
  <c r="C111" i="3"/>
  <c r="B111" i="3"/>
  <c r="E111" i="3" s="1"/>
  <c r="D110" i="3"/>
  <c r="C110" i="3"/>
  <c r="B110" i="3"/>
  <c r="E110" i="3" s="1"/>
  <c r="D109" i="3"/>
  <c r="C109" i="3"/>
  <c r="B109" i="3"/>
  <c r="E109" i="3" s="1"/>
  <c r="D108" i="3"/>
  <c r="C108" i="3"/>
  <c r="F108" i="3" s="1"/>
  <c r="B108" i="3"/>
  <c r="E108" i="3" s="1"/>
  <c r="D107" i="3"/>
  <c r="C107" i="3"/>
  <c r="B107" i="3"/>
  <c r="E107" i="3" s="1"/>
  <c r="E106" i="3"/>
  <c r="D106" i="3"/>
  <c r="C106" i="3"/>
  <c r="B106" i="3"/>
  <c r="D105" i="3"/>
  <c r="C105" i="3"/>
  <c r="B105" i="3"/>
  <c r="E105" i="3" s="1"/>
  <c r="E104" i="3"/>
  <c r="D104" i="3"/>
  <c r="C104" i="3"/>
  <c r="B104" i="3"/>
  <c r="D103" i="3"/>
  <c r="C103" i="3"/>
  <c r="B103" i="3"/>
  <c r="E103" i="3" s="1"/>
  <c r="D102" i="3"/>
  <c r="C102" i="3"/>
  <c r="B102" i="3"/>
  <c r="E102" i="3" s="1"/>
  <c r="E101" i="3"/>
  <c r="D101" i="3"/>
  <c r="C101" i="3"/>
  <c r="B101" i="3"/>
  <c r="D100" i="3"/>
  <c r="C100" i="3"/>
  <c r="B100" i="3"/>
  <c r="E100" i="3" s="1"/>
  <c r="D99" i="3"/>
  <c r="C99" i="3"/>
  <c r="B99" i="3"/>
  <c r="E99" i="3" s="1"/>
  <c r="D98" i="3"/>
  <c r="C98" i="3"/>
  <c r="B98" i="3"/>
  <c r="E98" i="3" s="1"/>
  <c r="D97" i="3"/>
  <c r="C97" i="3"/>
  <c r="B97" i="3"/>
  <c r="E97" i="3" s="1"/>
  <c r="D96" i="3"/>
  <c r="C96" i="3"/>
  <c r="B96" i="3"/>
  <c r="E96" i="3" s="1"/>
  <c r="E95" i="3"/>
  <c r="D95" i="3"/>
  <c r="C95" i="3"/>
  <c r="B95" i="3"/>
  <c r="D94" i="3"/>
  <c r="C94" i="3"/>
  <c r="B94" i="3"/>
  <c r="E94" i="3" s="1"/>
  <c r="E93" i="3"/>
  <c r="D93" i="3"/>
  <c r="C93" i="3"/>
  <c r="B93" i="3"/>
  <c r="D92" i="3"/>
  <c r="C92" i="3"/>
  <c r="B92" i="3"/>
  <c r="E92" i="3" s="1"/>
  <c r="E91" i="3"/>
  <c r="D91" i="3"/>
  <c r="C91" i="3"/>
  <c r="B91" i="3"/>
  <c r="D90" i="3"/>
  <c r="C90" i="3"/>
  <c r="B90" i="3"/>
  <c r="E90" i="3" s="1"/>
  <c r="D89" i="3"/>
  <c r="C89" i="3"/>
  <c r="B89" i="3"/>
  <c r="E89" i="3" s="1"/>
  <c r="D88" i="3"/>
  <c r="C88" i="3"/>
  <c r="B88" i="3"/>
  <c r="E88" i="3" s="1"/>
  <c r="D87" i="3"/>
  <c r="C87" i="3"/>
  <c r="B87" i="3"/>
  <c r="E87" i="3" s="1"/>
  <c r="D86" i="3"/>
  <c r="C86" i="3"/>
  <c r="B86" i="3"/>
  <c r="E86" i="3" s="1"/>
  <c r="E85" i="3"/>
  <c r="D85" i="3"/>
  <c r="C85" i="3"/>
  <c r="B85" i="3"/>
  <c r="D84" i="3"/>
  <c r="C84" i="3"/>
  <c r="B84" i="3"/>
  <c r="E84" i="3" s="1"/>
  <c r="D83" i="3"/>
  <c r="C83" i="3"/>
  <c r="B83" i="3"/>
  <c r="E83" i="3" s="1"/>
  <c r="E82" i="3"/>
  <c r="D82" i="3"/>
  <c r="C82" i="3"/>
  <c r="B82" i="3"/>
  <c r="D81" i="3"/>
  <c r="C81" i="3"/>
  <c r="B81" i="3"/>
  <c r="E81" i="3" s="1"/>
  <c r="E80" i="3"/>
  <c r="D80" i="3"/>
  <c r="C80" i="3"/>
  <c r="B80" i="3"/>
  <c r="D79" i="3"/>
  <c r="C79" i="3"/>
  <c r="B79" i="3"/>
  <c r="E79" i="3" s="1"/>
  <c r="D78" i="3"/>
  <c r="C78" i="3"/>
  <c r="B78" i="3"/>
  <c r="E78" i="3" s="1"/>
  <c r="D77" i="3"/>
  <c r="C77" i="3"/>
  <c r="B77" i="3"/>
  <c r="E77" i="3" s="1"/>
  <c r="D76" i="3"/>
  <c r="C76" i="3"/>
  <c r="B76" i="3"/>
  <c r="E76" i="3" s="1"/>
  <c r="D75" i="3"/>
  <c r="C75" i="3"/>
  <c r="B75" i="3"/>
  <c r="E75" i="3" s="1"/>
  <c r="E74" i="3"/>
  <c r="D74" i="3"/>
  <c r="C74" i="3"/>
  <c r="B74" i="3"/>
  <c r="D73" i="3"/>
  <c r="C73" i="3"/>
  <c r="B73" i="3"/>
  <c r="E73" i="3" s="1"/>
  <c r="E72" i="3"/>
  <c r="D72" i="3"/>
  <c r="C72" i="3"/>
  <c r="B72" i="3"/>
  <c r="D71" i="3"/>
  <c r="C71" i="3"/>
  <c r="B71" i="3"/>
  <c r="E71" i="3" s="1"/>
  <c r="D70" i="3"/>
  <c r="C70" i="3"/>
  <c r="B70" i="3"/>
  <c r="E70" i="3" s="1"/>
  <c r="E69" i="3"/>
  <c r="D69" i="3"/>
  <c r="C69" i="3"/>
  <c r="B69" i="3"/>
  <c r="D68" i="3"/>
  <c r="C68" i="3"/>
  <c r="B68" i="3"/>
  <c r="E68" i="3" s="1"/>
  <c r="D67" i="3"/>
  <c r="C67" i="3"/>
  <c r="B67" i="3"/>
  <c r="E67" i="3" s="1"/>
  <c r="D66" i="3"/>
  <c r="C66" i="3"/>
  <c r="B66" i="3"/>
  <c r="E66" i="3" s="1"/>
  <c r="D65" i="3"/>
  <c r="C65" i="3"/>
  <c r="B65" i="3"/>
  <c r="E65" i="3" s="1"/>
  <c r="D64" i="3"/>
  <c r="C64" i="3"/>
  <c r="B64" i="3"/>
  <c r="E64" i="3" s="1"/>
  <c r="E63" i="3"/>
  <c r="D63" i="3"/>
  <c r="C63" i="3"/>
  <c r="B63" i="3"/>
  <c r="D62" i="3"/>
  <c r="C62" i="3"/>
  <c r="B62" i="3"/>
  <c r="E62" i="3" s="1"/>
  <c r="E61" i="3"/>
  <c r="D61" i="3"/>
  <c r="C61" i="3"/>
  <c r="B61" i="3"/>
  <c r="D60" i="3"/>
  <c r="C60" i="3"/>
  <c r="B60" i="3"/>
  <c r="E60" i="3" s="1"/>
  <c r="E59" i="3"/>
  <c r="D59" i="3"/>
  <c r="C59" i="3"/>
  <c r="B59" i="3"/>
  <c r="D58" i="3"/>
  <c r="C58" i="3"/>
  <c r="B58" i="3"/>
  <c r="E58" i="3" s="1"/>
  <c r="D57" i="3"/>
  <c r="C57" i="3"/>
  <c r="B57" i="3"/>
  <c r="E57" i="3" s="1"/>
  <c r="D56" i="3"/>
  <c r="C56" i="3"/>
  <c r="B56" i="3"/>
  <c r="E56" i="3" s="1"/>
  <c r="D55" i="3"/>
  <c r="C55" i="3"/>
  <c r="B55" i="3"/>
  <c r="E55" i="3" s="1"/>
  <c r="D54" i="3"/>
  <c r="C54" i="3"/>
  <c r="B54" i="3"/>
  <c r="E54" i="3" s="1"/>
  <c r="E53" i="3"/>
  <c r="D53" i="3"/>
  <c r="C53" i="3"/>
  <c r="B53" i="3"/>
  <c r="D52" i="3"/>
  <c r="C52" i="3"/>
  <c r="B52" i="3"/>
  <c r="E52" i="3" s="1"/>
  <c r="D51" i="3"/>
  <c r="C51" i="3"/>
  <c r="F51" i="3" s="1"/>
  <c r="B51" i="3"/>
  <c r="E51" i="3" s="1"/>
  <c r="E50" i="3"/>
  <c r="D50" i="3"/>
  <c r="C50" i="3"/>
  <c r="B50" i="3"/>
  <c r="D49" i="3"/>
  <c r="C49" i="3"/>
  <c r="B49" i="3"/>
  <c r="E49" i="3" s="1"/>
  <c r="E48" i="3"/>
  <c r="D48" i="3"/>
  <c r="C48" i="3"/>
  <c r="B48" i="3"/>
  <c r="D47" i="3"/>
  <c r="C47" i="3"/>
  <c r="B47" i="3"/>
  <c r="E47" i="3" s="1"/>
  <c r="D46" i="3"/>
  <c r="C46" i="3"/>
  <c r="B46" i="3"/>
  <c r="E46" i="3" s="1"/>
  <c r="D45" i="3"/>
  <c r="C45" i="3"/>
  <c r="B45" i="3"/>
  <c r="E45" i="3" s="1"/>
  <c r="D44" i="3"/>
  <c r="C44" i="3"/>
  <c r="F44" i="3" s="1"/>
  <c r="B44" i="3"/>
  <c r="E44" i="3" s="1"/>
  <c r="D43" i="3"/>
  <c r="C43" i="3"/>
  <c r="B43" i="3"/>
  <c r="E43" i="3" s="1"/>
  <c r="E42" i="3"/>
  <c r="D42" i="3"/>
  <c r="C42" i="3"/>
  <c r="B42" i="3"/>
  <c r="D41" i="3"/>
  <c r="C41" i="3"/>
  <c r="B41" i="3"/>
  <c r="E41" i="3" s="1"/>
  <c r="E40" i="3"/>
  <c r="D40" i="3"/>
  <c r="C40" i="3"/>
  <c r="B40" i="3"/>
  <c r="D39" i="3"/>
  <c r="C39" i="3"/>
  <c r="B39" i="3"/>
  <c r="E39" i="3" s="1"/>
  <c r="D38" i="3"/>
  <c r="C38" i="3"/>
  <c r="B38" i="3"/>
  <c r="E38" i="3" s="1"/>
  <c r="E37" i="3"/>
  <c r="D37" i="3"/>
  <c r="C37" i="3"/>
  <c r="B37" i="3"/>
  <c r="D36" i="3"/>
  <c r="C36" i="3"/>
  <c r="B36" i="3"/>
  <c r="E36" i="3" s="1"/>
  <c r="D35" i="3"/>
  <c r="C35" i="3"/>
  <c r="B35" i="3"/>
  <c r="E35" i="3" s="1"/>
  <c r="D34" i="3"/>
  <c r="C34" i="3"/>
  <c r="B34" i="3"/>
  <c r="E34" i="3" s="1"/>
  <c r="D33" i="3"/>
  <c r="C33" i="3"/>
  <c r="B33" i="3"/>
  <c r="E33" i="3" s="1"/>
  <c r="D32" i="3"/>
  <c r="C32" i="3"/>
  <c r="B32" i="3"/>
  <c r="E32" i="3" s="1"/>
  <c r="E31" i="3"/>
  <c r="D31" i="3"/>
  <c r="C31" i="3"/>
  <c r="B31" i="3"/>
  <c r="D30" i="3"/>
  <c r="C30" i="3"/>
  <c r="B30" i="3"/>
  <c r="E30" i="3" s="1"/>
  <c r="E29" i="3"/>
  <c r="D29" i="3"/>
  <c r="C29" i="3"/>
  <c r="B29" i="3"/>
  <c r="D28" i="3"/>
  <c r="C28" i="3"/>
  <c r="B28" i="3"/>
  <c r="E28" i="3" s="1"/>
  <c r="E27" i="3"/>
  <c r="D27" i="3"/>
  <c r="C27" i="3"/>
  <c r="B27" i="3"/>
  <c r="D26" i="3"/>
  <c r="C26" i="3"/>
  <c r="B26" i="3"/>
  <c r="E26" i="3" s="1"/>
  <c r="D25" i="3"/>
  <c r="C25" i="3"/>
  <c r="B25" i="3"/>
  <c r="E25" i="3" s="1"/>
  <c r="D24" i="3"/>
  <c r="C24" i="3"/>
  <c r="B24" i="3"/>
  <c r="E24" i="3" s="1"/>
  <c r="D23" i="3"/>
  <c r="C23" i="3"/>
  <c r="B23" i="3"/>
  <c r="E23" i="3" s="1"/>
  <c r="D22" i="3"/>
  <c r="C22" i="3"/>
  <c r="B22" i="3"/>
  <c r="E22" i="3" s="1"/>
  <c r="E21" i="3"/>
  <c r="D21" i="3"/>
  <c r="C21" i="3"/>
  <c r="B21" i="3"/>
  <c r="D20" i="3"/>
  <c r="C20" i="3"/>
  <c r="B20" i="3"/>
  <c r="E20" i="3" s="1"/>
  <c r="D19" i="3"/>
  <c r="C19" i="3"/>
  <c r="B19" i="3"/>
  <c r="E19" i="3" s="1"/>
  <c r="E18" i="3"/>
  <c r="D18" i="3"/>
  <c r="C18" i="3"/>
  <c r="B18" i="3"/>
  <c r="D17" i="3"/>
  <c r="C17" i="3"/>
  <c r="B17" i="3"/>
  <c r="E17" i="3" s="1"/>
  <c r="E16" i="3"/>
  <c r="D16" i="3"/>
  <c r="C16" i="3"/>
  <c r="B16" i="3"/>
  <c r="D15" i="3"/>
  <c r="C15" i="3"/>
  <c r="B15" i="3"/>
  <c r="E15" i="3" s="1"/>
  <c r="D14" i="3"/>
  <c r="C14" i="3"/>
  <c r="B14" i="3"/>
  <c r="E14" i="3" s="1"/>
  <c r="D13" i="3"/>
  <c r="C13" i="3"/>
  <c r="B13" i="3"/>
  <c r="E13" i="3" s="1"/>
  <c r="D12" i="3"/>
  <c r="C12" i="3"/>
  <c r="B12" i="3"/>
  <c r="E12" i="3" s="1"/>
  <c r="D11" i="3"/>
  <c r="C11" i="3"/>
  <c r="B11" i="3"/>
  <c r="E11" i="3" s="1"/>
  <c r="E10" i="3"/>
  <c r="D10" i="3"/>
  <c r="C10" i="3"/>
  <c r="B10" i="3"/>
  <c r="D9" i="3"/>
  <c r="C9" i="3"/>
  <c r="B9" i="3"/>
  <c r="E9" i="3" s="1"/>
  <c r="E8" i="3"/>
  <c r="D8" i="3"/>
  <c r="C8" i="3"/>
  <c r="B8" i="3"/>
  <c r="D7" i="3"/>
  <c r="C7" i="3"/>
  <c r="B7" i="3"/>
  <c r="E7" i="3" s="1"/>
  <c r="D6" i="3"/>
  <c r="C6" i="3"/>
  <c r="F146" i="3" s="1"/>
  <c r="B6" i="3"/>
  <c r="E6" i="3" s="1"/>
  <c r="E5" i="3"/>
  <c r="D5" i="3"/>
  <c r="C5" i="3"/>
  <c r="B5" i="3"/>
  <c r="D4" i="3"/>
  <c r="C4" i="3"/>
  <c r="B4" i="3"/>
  <c r="E4" i="3" s="1"/>
  <c r="D3" i="3"/>
  <c r="C3" i="3"/>
  <c r="B3" i="3"/>
  <c r="E3" i="3" s="1"/>
  <c r="D2" i="3"/>
  <c r="C2" i="3"/>
  <c r="B2" i="3"/>
  <c r="E2" i="3" s="1"/>
  <c r="D22" i="1"/>
  <c r="F22" i="1" s="1"/>
  <c r="C23" i="1" s="1"/>
  <c r="B23" i="1" s="1"/>
  <c r="D21" i="1"/>
  <c r="F21" i="1" s="1"/>
  <c r="C22" i="1" s="1"/>
  <c r="B22" i="1" s="1"/>
  <c r="D20" i="1"/>
  <c r="F20" i="1" s="1"/>
  <c r="C21" i="1" s="1"/>
  <c r="B21" i="1" s="1"/>
  <c r="D19" i="1"/>
  <c r="F19" i="1" s="1"/>
  <c r="C20" i="1" s="1"/>
  <c r="B20" i="1" s="1"/>
  <c r="D18" i="1"/>
  <c r="F18" i="1" s="1"/>
  <c r="C19" i="1" s="1"/>
  <c r="B19" i="1" s="1"/>
  <c r="D17" i="1"/>
  <c r="F17" i="1" s="1"/>
  <c r="C18" i="1" s="1"/>
  <c r="B18" i="1" s="1"/>
  <c r="F16" i="1"/>
  <c r="C17" i="1" s="1"/>
  <c r="B17" i="1" s="1"/>
  <c r="F15" i="1"/>
  <c r="C16" i="1" s="1"/>
  <c r="B16" i="1" s="1"/>
  <c r="D15" i="1"/>
  <c r="D14" i="1"/>
  <c r="F14" i="1" s="1"/>
  <c r="C15" i="1" s="1"/>
  <c r="B15" i="1" s="1"/>
  <c r="D13" i="1"/>
  <c r="F13" i="1" s="1"/>
  <c r="C14" i="1" s="1"/>
  <c r="B14" i="1" s="1"/>
  <c r="D12" i="1"/>
  <c r="F12" i="1" s="1"/>
  <c r="C13" i="1" s="1"/>
  <c r="B13" i="1" s="1"/>
  <c r="D11" i="1"/>
  <c r="F11" i="1" s="1"/>
  <c r="C12" i="1" s="1"/>
  <c r="B12" i="1" s="1"/>
  <c r="D10" i="1"/>
  <c r="F10" i="1" s="1"/>
  <c r="C11" i="1" s="1"/>
  <c r="B11" i="1" s="1"/>
  <c r="D9" i="1"/>
  <c r="F9" i="1" s="1"/>
  <c r="C10" i="1" s="1"/>
  <c r="B10" i="1" s="1"/>
  <c r="D8" i="1"/>
  <c r="F8" i="1" s="1"/>
  <c r="C9" i="1" s="1"/>
  <c r="B9" i="1" s="1"/>
  <c r="F7" i="1"/>
  <c r="C8" i="1" s="1"/>
  <c r="B8" i="1" s="1"/>
  <c r="D7" i="1"/>
  <c r="D6" i="1"/>
  <c r="F6" i="1" s="1"/>
  <c r="C7" i="1" s="1"/>
  <c r="B7" i="1" s="1"/>
  <c r="D5" i="1"/>
  <c r="F5" i="1" s="1"/>
  <c r="C6" i="1" s="1"/>
  <c r="B6" i="1" s="1"/>
  <c r="F4" i="1"/>
  <c r="C5" i="1" s="1"/>
  <c r="B5" i="1" s="1"/>
  <c r="F3" i="1"/>
  <c r="C4" i="1" s="1"/>
  <c r="B4" i="1" s="1"/>
  <c r="F160" i="3" l="1"/>
  <c r="F190" i="3"/>
  <c r="F88" i="3"/>
  <c r="F89" i="3"/>
  <c r="F98" i="3"/>
  <c r="F268" i="3"/>
  <c r="F154" i="3"/>
  <c r="F183" i="3"/>
  <c r="F231" i="3"/>
  <c r="F17" i="3"/>
  <c r="F81" i="3"/>
  <c r="F145" i="3"/>
  <c r="F222" i="3"/>
  <c r="F250" i="3"/>
  <c r="F193" i="3"/>
  <c r="F203" i="3"/>
  <c r="F241" i="3"/>
  <c r="F287" i="3"/>
  <c r="F36" i="3"/>
  <c r="F54" i="3"/>
  <c r="F100" i="3"/>
  <c r="F118" i="3"/>
  <c r="F260" i="3"/>
  <c r="F269" i="3"/>
  <c r="F7" i="3"/>
  <c r="F135" i="3"/>
  <c r="F26" i="3"/>
  <c r="F90" i="3"/>
  <c r="F164" i="3"/>
  <c r="F212" i="3"/>
  <c r="F278" i="3"/>
  <c r="F45" i="3"/>
  <c r="F109" i="3"/>
  <c r="F213" i="3"/>
  <c r="F288" i="3"/>
  <c r="F228" i="3"/>
  <c r="F60" i="3"/>
  <c r="F266" i="3"/>
  <c r="F43" i="3"/>
  <c r="F52" i="3"/>
  <c r="F116" i="3"/>
  <c r="F9" i="3"/>
  <c r="F63" i="3"/>
  <c r="F73" i="3"/>
  <c r="F137" i="3"/>
  <c r="F175" i="3"/>
  <c r="F184" i="3"/>
  <c r="F194" i="3"/>
  <c r="F204" i="3"/>
  <c r="F279" i="3"/>
  <c r="F180" i="3"/>
  <c r="F124" i="3"/>
  <c r="F171" i="3"/>
  <c r="F257" i="3"/>
  <c r="F201" i="3"/>
  <c r="F267" i="3"/>
  <c r="F182" i="3"/>
  <c r="F237" i="3"/>
  <c r="F50" i="3"/>
  <c r="F185" i="3"/>
  <c r="F289" i="3"/>
  <c r="F255" i="3"/>
  <c r="F248" i="3"/>
  <c r="F259" i="3"/>
  <c r="F67" i="3"/>
  <c r="F3" i="3"/>
  <c r="F227" i="3"/>
  <c r="F131" i="3"/>
  <c r="F99" i="3"/>
  <c r="F35" i="3"/>
  <c r="F6" i="3"/>
  <c r="F163" i="3"/>
  <c r="F142" i="3"/>
  <c r="F16" i="3"/>
  <c r="F195" i="3"/>
  <c r="F110" i="3"/>
  <c r="F14" i="3"/>
  <c r="F270" i="3"/>
  <c r="F238" i="3"/>
  <c r="F206" i="3"/>
  <c r="F174" i="3"/>
  <c r="F78" i="3"/>
  <c r="F46" i="3"/>
  <c r="D25" i="1"/>
  <c r="F25" i="1" s="1"/>
  <c r="C26" i="1" s="1"/>
  <c r="B26" i="1" s="1"/>
  <c r="F166" i="3"/>
  <c r="F224" i="3"/>
  <c r="F261" i="3"/>
  <c r="F271" i="3"/>
  <c r="F47" i="3"/>
  <c r="F65" i="3"/>
  <c r="F111" i="3"/>
  <c r="F129" i="3"/>
  <c r="F186" i="3"/>
  <c r="F215" i="3"/>
  <c r="F234" i="3"/>
  <c r="F243" i="3"/>
  <c r="F290" i="3"/>
  <c r="F31" i="3"/>
  <c r="F172" i="3"/>
  <c r="F19" i="3"/>
  <c r="F102" i="3"/>
  <c r="F120" i="3"/>
  <c r="F196" i="3"/>
  <c r="F262" i="3"/>
  <c r="F281" i="3"/>
  <c r="E185" i="3"/>
  <c r="D24" i="1" s="1"/>
  <c r="F24" i="1" s="1"/>
  <c r="C25" i="1" s="1"/>
  <c r="B25" i="1" s="1"/>
  <c r="F214" i="3"/>
  <c r="F75" i="3"/>
  <c r="F84" i="3"/>
  <c r="F139" i="3"/>
  <c r="F148" i="3"/>
  <c r="F167" i="3"/>
  <c r="F177" i="3"/>
  <c r="F225" i="3"/>
  <c r="F33" i="3"/>
  <c r="F97" i="3"/>
  <c r="F152" i="3"/>
  <c r="F210" i="3"/>
  <c r="F286" i="3"/>
  <c r="F57" i="3"/>
  <c r="F291" i="3"/>
  <c r="F199" i="3"/>
  <c r="F247" i="3"/>
  <c r="F106" i="3"/>
  <c r="F181" i="3"/>
  <c r="F249" i="3"/>
  <c r="F53" i="3"/>
  <c r="F117" i="3"/>
  <c r="F147" i="3"/>
  <c r="F205" i="3"/>
  <c r="F103" i="3"/>
  <c r="F235" i="3"/>
  <c r="F263" i="3"/>
  <c r="F282" i="3"/>
  <c r="F265" i="3"/>
  <c r="F23" i="3"/>
  <c r="F42" i="3"/>
  <c r="F220" i="3"/>
  <c r="F229" i="3"/>
  <c r="F239" i="3"/>
  <c r="F230" i="3"/>
  <c r="F258" i="3"/>
  <c r="F82" i="3"/>
  <c r="F223" i="3"/>
  <c r="F83" i="3"/>
  <c r="F101" i="3"/>
  <c r="F121" i="3"/>
  <c r="F130" i="3"/>
  <c r="F158" i="3"/>
  <c r="F244" i="3"/>
  <c r="F21" i="3"/>
  <c r="F30" i="3"/>
  <c r="F85" i="3"/>
  <c r="F94" i="3"/>
  <c r="F149" i="3"/>
  <c r="F207" i="3"/>
  <c r="F216" i="3"/>
  <c r="F226" i="3"/>
  <c r="F254" i="3"/>
  <c r="F70" i="3"/>
  <c r="F276" i="3"/>
  <c r="F242" i="3"/>
  <c r="F252" i="3"/>
  <c r="F37" i="3"/>
  <c r="E217" i="3"/>
  <c r="F245" i="3"/>
  <c r="F273" i="3"/>
  <c r="F292" i="3"/>
  <c r="F41" i="3"/>
  <c r="F115" i="3"/>
  <c r="F107" i="3"/>
  <c r="F128" i="3"/>
  <c r="F165" i="3"/>
  <c r="F233" i="3"/>
  <c r="F38" i="3"/>
  <c r="F56" i="3"/>
  <c r="F11" i="3"/>
  <c r="F49" i="3"/>
  <c r="F58" i="3"/>
  <c r="F113" i="3"/>
  <c r="F122" i="3"/>
  <c r="F188" i="3"/>
  <c r="F197" i="3"/>
  <c r="F217" i="3"/>
  <c r="F236" i="3"/>
  <c r="F105" i="3"/>
  <c r="F170" i="3"/>
  <c r="F284" i="3"/>
  <c r="F87" i="3"/>
  <c r="F151" i="3"/>
  <c r="F209" i="3"/>
  <c r="F96" i="3"/>
  <c r="F25" i="3"/>
  <c r="F34" i="3"/>
  <c r="F55" i="3"/>
  <c r="F119" i="3"/>
  <c r="F20" i="3"/>
  <c r="F95" i="3"/>
  <c r="F274" i="3"/>
  <c r="F114" i="3"/>
  <c r="F161" i="3"/>
  <c r="F275" i="3"/>
  <c r="F5" i="3"/>
  <c r="F69" i="3"/>
  <c r="F133" i="3"/>
  <c r="F15" i="3"/>
  <c r="F79" i="3"/>
  <c r="F143" i="3"/>
  <c r="F24" i="3"/>
  <c r="F153" i="3"/>
  <c r="F71" i="3"/>
  <c r="F211" i="3"/>
  <c r="F277" i="3"/>
  <c r="F62" i="3"/>
  <c r="F202" i="3"/>
  <c r="F18" i="3"/>
  <c r="F74" i="3"/>
  <c r="F12" i="3"/>
  <c r="F68" i="3"/>
  <c r="F86" i="3"/>
  <c r="F198" i="3"/>
  <c r="F293" i="3"/>
  <c r="F32" i="3"/>
  <c r="F256" i="3"/>
  <c r="F134" i="3"/>
  <c r="F162" i="3"/>
  <c r="F126" i="3"/>
  <c r="F173" i="3"/>
  <c r="F192" i="3"/>
  <c r="F64" i="3"/>
  <c r="F10" i="3"/>
  <c r="F28" i="3"/>
  <c r="F92" i="3"/>
  <c r="F138" i="3"/>
  <c r="F280" i="3"/>
  <c r="D23" i="1"/>
  <c r="F23" i="1" s="1"/>
  <c r="C24" i="1" s="1"/>
  <c r="B24" i="1" s="1"/>
  <c r="F66" i="3"/>
  <c r="F39" i="3"/>
  <c r="F76" i="3"/>
  <c r="F140" i="3"/>
  <c r="F169" i="3"/>
  <c r="F178" i="3"/>
  <c r="F4" i="3"/>
  <c r="F22" i="3"/>
  <c r="F132" i="3"/>
  <c r="F150" i="3"/>
  <c r="F13" i="3"/>
  <c r="F77" i="3"/>
  <c r="F141" i="3"/>
  <c r="F179" i="3"/>
  <c r="F218" i="3"/>
  <c r="F246" i="3"/>
  <c r="F91" i="3"/>
  <c r="F219" i="3"/>
  <c r="F251" i="3"/>
  <c r="F283" i="3"/>
  <c r="F8" i="3"/>
  <c r="F40" i="3"/>
  <c r="F72" i="3"/>
  <c r="F104" i="3"/>
  <c r="F136" i="3"/>
  <c r="F168" i="3"/>
  <c r="F2" i="3"/>
  <c r="F27" i="3"/>
  <c r="F59" i="3"/>
  <c r="F123" i="3"/>
  <c r="F155" i="3"/>
  <c r="F187" i="3"/>
  <c r="F200" i="3"/>
  <c r="F232" i="3"/>
  <c r="F264" i="3"/>
  <c r="F144" i="3"/>
  <c r="F240" i="3"/>
  <c r="F125" i="3"/>
  <c r="F189" i="3"/>
  <c r="F285" i="3"/>
  <c r="F112" i="3"/>
  <c r="F208" i="3"/>
  <c r="F29" i="3"/>
  <c r="F61" i="3"/>
  <c r="F93" i="3"/>
  <c r="F157" i="3"/>
  <c r="F221" i="3"/>
  <c r="F253" i="3"/>
  <c r="F48" i="3"/>
  <c r="F80" i="3"/>
  <c r="F176" i="3"/>
  <c r="F272" i="3"/>
</calcChain>
</file>

<file path=xl/sharedStrings.xml><?xml version="1.0" encoding="utf-8"?>
<sst xmlns="http://schemas.openxmlformats.org/spreadsheetml/2006/main" count="642" uniqueCount="21">
  <si>
    <t>№</t>
  </si>
  <si>
    <t>ЗАДАНИЕ</t>
  </si>
  <si>
    <t>ОТВЕТ</t>
  </si>
  <si>
    <t>СТАТУС</t>
  </si>
  <si>
    <t>Вычислите общую сумму начислений для всех абонентов в тенге</t>
  </si>
  <si>
    <t>НА ГОРОДСКОЙ</t>
  </si>
  <si>
    <t>ДРУГОЕ</t>
  </si>
  <si>
    <t>Абонент</t>
  </si>
  <si>
    <t>Тарифный план</t>
  </si>
  <si>
    <t>Направление звонка</t>
  </si>
  <si>
    <t>Начисления, тенге</t>
  </si>
  <si>
    <t>Продолжительность разговора, секунды</t>
  </si>
  <si>
    <t>Внутри сети</t>
  </si>
  <si>
    <t>На других операторов</t>
  </si>
  <si>
    <t>На городской</t>
  </si>
  <si>
    <t>На межнар</t>
  </si>
  <si>
    <t>Другое</t>
  </si>
  <si>
    <t>Продолжительность, сек</t>
  </si>
  <si>
    <t>Продолжительность на ТП 5, сек</t>
  </si>
  <si>
    <t>Место по начислениям</t>
  </si>
  <si>
    <t>Список абонентов — уникальные значения столбца «Абонент» листа «База данных», для заданий 21-23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</si>
</sst>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0.0"/>
  </numFmts>
  <fonts count="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b/>
      <sz val="11"/>
      <name val="Calibri"/>
    </font>
    <font>
      <b/>
      <sz val="11"/>
      <name val="Calibri"/>
      <family val="2"/>
      <charset val="204"/>
    </font>
    <font>
      <i/>
      <sz val="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ill="1" applyAlignment="1" applyProtection="1">
      <alignment vertical="center"/>
      <protection hidden="1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2" fontId="0" fillId="0" borderId="0" xfId="0" applyNumberFormat="1" applyProtection="1"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4" fontId="5" fillId="2" borderId="1" xfId="0" applyNumberFormat="1" applyFont="1" applyFill="1" applyBorder="1" applyAlignment="1" applyProtection="1">
      <alignment horizontal="center" vertical="center"/>
      <protection locked="0"/>
    </xf>
    <xf numFmtId="3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0" fontId="5" fillId="2" borderId="1" xfId="0" applyNumberFormat="1" applyFont="1" applyFill="1" applyBorder="1" applyAlignment="1" applyProtection="1">
      <alignment horizontal="center" vertical="center"/>
      <protection locked="0"/>
    </xf>
    <xf numFmtId="3" fontId="5" fillId="2" borderId="1" xfId="1" applyNumberFormat="1" applyFont="1" applyFill="1" applyBorder="1" applyAlignment="1" applyProtection="1">
      <alignment horizontal="center" vertical="center"/>
      <protection locked="0"/>
    </xf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1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2">
    <cellStyle name="Обычный" xfId="0" builtinId="0"/>
    <cellStyle name="Процентный" xfId="1" builtinId="5"/>
  </cellStyles>
  <dxfs count="16">
    <dxf>
      <border>
        <left/>
        <right/>
        <top/>
        <bottom/>
      </border>
    </dxf>
    <dxf>
      <border>
        <left/>
        <right/>
        <top/>
        <bottom/>
      </border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4" zoomScale="85" zoomScaleNormal="85" workbookViewId="0">
      <selection activeCell="D26" sqref="D26"/>
    </sheetView>
  </sheetViews>
  <sheetFormatPr defaultColWidth="9.08984375" defaultRowHeight="14.5" x14ac:dyDescent="0.35"/>
  <cols>
    <col min="1" max="1" width="2.36328125" style="4" customWidth="1"/>
    <col min="2" max="2" width="12.453125" style="8" customWidth="1"/>
    <col min="3" max="3" width="63.6328125" style="7" customWidth="1"/>
    <col min="4" max="4" width="21.08984375" style="3" customWidth="1"/>
    <col min="5" max="5" width="1.6328125" style="6" customWidth="1"/>
    <col min="6" max="6" width="20.54296875" style="8" customWidth="1"/>
    <col min="7" max="7" width="16.453125" style="7" customWidth="1"/>
    <col min="8" max="13" width="15.6328125" style="7" customWidth="1"/>
    <col min="14" max="14" width="16.54296875" style="7" customWidth="1"/>
    <col min="15" max="15" width="15.6328125" style="26" hidden="1" customWidth="1"/>
    <col min="16" max="16" width="8" style="27" hidden="1" customWidth="1"/>
    <col min="17" max="32" width="15.6328125" style="6" customWidth="1"/>
    <col min="33" max="33" width="15.6328125" style="9" customWidth="1"/>
    <col min="34" max="34" width="9.08984375" style="9" customWidth="1"/>
    <col min="35" max="16384" width="9.08984375" style="9"/>
  </cols>
  <sheetData>
    <row r="2" spans="1:16" x14ac:dyDescent="0.35">
      <c r="B2" s="5" t="s">
        <v>0</v>
      </c>
      <c r="C2" s="5" t="s">
        <v>1</v>
      </c>
      <c r="D2" s="13" t="s">
        <v>2</v>
      </c>
      <c r="F2" s="5" t="s">
        <v>3</v>
      </c>
    </row>
    <row r="3" spans="1:16" ht="45.75" customHeight="1" x14ac:dyDescent="0.35">
      <c r="A3" s="4">
        <v>1</v>
      </c>
      <c r="B3" s="10">
        <v>1</v>
      </c>
      <c r="C3" s="11" t="s">
        <v>4</v>
      </c>
      <c r="D3" s="37">
        <f>SUM('База данных'!$D$2:$D$624)</f>
        <v>3899.5800000000108</v>
      </c>
      <c r="F3" s="10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4">
        <v>3899.58</v>
      </c>
      <c r="P3" s="29"/>
    </row>
    <row r="4" spans="1:16" ht="45.75" customHeight="1" x14ac:dyDescent="0.35">
      <c r="A4" s="4">
        <v>2</v>
      </c>
      <c r="B4" s="10">
        <f t="shared" ref="B4:B26" si="0">IF(C4="","",A4)</f>
        <v>2</v>
      </c>
      <c r="C4" s="11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38">
        <f>SUM('База данных'!$E$2:$E$624)</f>
        <v>7883</v>
      </c>
      <c r="F4" s="10" t="str">
        <f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4">
        <v>7883</v>
      </c>
      <c r="P4" s="29"/>
    </row>
    <row r="5" spans="1:16" ht="45.75" customHeight="1" x14ac:dyDescent="0.35">
      <c r="A5" s="4">
        <v>3</v>
      </c>
      <c r="B5" s="10">
        <f t="shared" si="0"/>
        <v>3</v>
      </c>
      <c r="C5" s="11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38">
        <f>COUNTA('База данных'!$A$2:$A$624)</f>
        <v>623</v>
      </c>
      <c r="F5" s="10" t="str">
        <f>IF(ISERROR(IF(D5=D5,"Правильный ответ","Неправильный ответ")),"Неправильный ответ",IF(D5=O5,"Правильный ответ","Неправильный ответ"))</f>
        <v>Правильный ответ</v>
      </c>
      <c r="O5" s="4">
        <v>623</v>
      </c>
      <c r="P5" s="29"/>
    </row>
    <row r="6" spans="1:16" ht="45.75" customHeight="1" x14ac:dyDescent="0.35">
      <c r="A6" s="4">
        <v>4</v>
      </c>
      <c r="B6" s="10">
        <f t="shared" si="0"/>
        <v>4</v>
      </c>
      <c r="C6" s="11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39">
        <f>ROUND(SUM('База данных'!$E$2:$E$624)/60,1)</f>
        <v>131.4</v>
      </c>
      <c r="F6" s="10" t="str">
        <f>IF(ISERROR(IF(D6=D6,"Правильный ответ","Неправильный ответ")),"Неправильный ответ",IF(D6=O6,"Правильный ответ","Неправильный ответ"))</f>
        <v>Правильный ответ</v>
      </c>
      <c r="O6" s="4">
        <v>131.4</v>
      </c>
      <c r="P6" s="29"/>
    </row>
    <row r="7" spans="1:16" ht="45.75" customHeight="1" x14ac:dyDescent="0.35">
      <c r="A7" s="4">
        <v>5</v>
      </c>
      <c r="B7" s="10">
        <f t="shared" si="0"/>
        <v>5</v>
      </c>
      <c r="C7" s="11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37">
        <f>SUMIF('База данных'!$C$2:$C$624,"Внутри сети",'База данных'!$D$2:$D$624)</f>
        <v>3172.3900000000172</v>
      </c>
      <c r="F7" s="10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4">
        <v>3172.39</v>
      </c>
      <c r="P7" s="29"/>
    </row>
    <row r="8" spans="1:16" ht="45.75" customHeight="1" x14ac:dyDescent="0.35">
      <c r="A8" s="4">
        <v>6</v>
      </c>
      <c r="B8" s="10">
        <f t="shared" si="0"/>
        <v>6</v>
      </c>
      <c r="C8" s="11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38">
        <f>SUMIF('База данных'!$C$2:$C$624,"На других операторов",'База данных'!$E$2:$E$624)</f>
        <v>362</v>
      </c>
      <c r="F8" s="10" t="str">
        <f t="shared" ref="F8:F25" si="1">IF(ISERROR(IF(D8=D8,"Правильный ответ","Неправильный ответ")),"Неправильный ответ",IF(D8=O8,"Правильный ответ","Неправильный ответ"))</f>
        <v>Правильный ответ</v>
      </c>
      <c r="O8" s="4">
        <v>362</v>
      </c>
      <c r="P8" s="29"/>
    </row>
    <row r="9" spans="1:16" ht="45.75" customHeight="1" x14ac:dyDescent="0.35">
      <c r="A9" s="4">
        <v>7</v>
      </c>
      <c r="B9" s="10">
        <f t="shared" si="0"/>
        <v>7</v>
      </c>
      <c r="C9" s="11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38">
        <f>COUNTIF('База данных'!$B$2:$B$624,2)</f>
        <v>66</v>
      </c>
      <c r="F9" s="10" t="str">
        <f t="shared" si="1"/>
        <v>Правильный ответ</v>
      </c>
      <c r="O9" s="4">
        <v>66</v>
      </c>
      <c r="P9" s="29"/>
    </row>
    <row r="10" spans="1:16" ht="45.75" customHeight="1" x14ac:dyDescent="0.35">
      <c r="A10" s="4">
        <v>8</v>
      </c>
      <c r="B10" s="10">
        <f t="shared" si="0"/>
        <v>8</v>
      </c>
      <c r="C10" s="11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37">
        <f>ROUND(SUM('База данных'!$D$2:$D$624)/(SUM('База данных'!$E$2:$E$624)/60),2)</f>
        <v>29.68</v>
      </c>
      <c r="F10" s="10" t="str">
        <f t="shared" si="1"/>
        <v>Правильный ответ</v>
      </c>
      <c r="O10" s="4">
        <v>29.68</v>
      </c>
      <c r="P10" s="29"/>
    </row>
    <row r="11" spans="1:16" ht="45.75" customHeight="1" x14ac:dyDescent="0.35">
      <c r="A11" s="4">
        <v>9</v>
      </c>
      <c r="B11" s="10">
        <f t="shared" si="0"/>
        <v>9</v>
      </c>
      <c r="C11" s="11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38">
        <f>ROUND(AVERAGE('База данных'!$E$2:$E$624),0)</f>
        <v>13</v>
      </c>
      <c r="F11" s="10" t="str">
        <f t="shared" si="1"/>
        <v>Правильный ответ</v>
      </c>
      <c r="O11" s="4">
        <v>13</v>
      </c>
      <c r="P11" s="29"/>
    </row>
    <row r="12" spans="1:16" ht="51" customHeight="1" x14ac:dyDescent="0.35">
      <c r="A12" s="4">
        <v>10</v>
      </c>
      <c r="B12" s="10">
        <f t="shared" si="0"/>
        <v>10</v>
      </c>
      <c r="C12" s="11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38">
        <f>SUMIFS('База данных'!$E$2:$E$624,'База данных'!$C$2:$C$624,"На городской",'База данных'!$B$2:$B$624,5)</f>
        <v>33</v>
      </c>
      <c r="F12" s="10" t="str">
        <f t="shared" si="1"/>
        <v>Правильный ответ</v>
      </c>
      <c r="O12" s="4">
        <v>33</v>
      </c>
      <c r="P12" s="29"/>
    </row>
    <row r="13" spans="1:16" ht="51" customHeight="1" x14ac:dyDescent="0.35">
      <c r="A13" s="4">
        <v>11</v>
      </c>
      <c r="B13" s="10">
        <f t="shared" si="0"/>
        <v>11</v>
      </c>
      <c r="C13" s="11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38">
        <f>COUNTIFS('База данных'!$C$2:$C$624,"На межнар",'База данных'!$B$2:$B$624,1)</f>
        <v>6</v>
      </c>
      <c r="F13" s="10" t="str">
        <f t="shared" si="1"/>
        <v>Правильный ответ</v>
      </c>
      <c r="O13" s="4">
        <v>6</v>
      </c>
      <c r="P13" s="29"/>
    </row>
    <row r="14" spans="1:16" ht="51" customHeight="1" x14ac:dyDescent="0.35">
      <c r="A14" s="4">
        <v>12</v>
      </c>
      <c r="B14" s="10">
        <f t="shared" si="0"/>
        <v>12</v>
      </c>
      <c r="C14" s="11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40">
        <f>ROUND(SUMIF('База данных'!$C$2:$C$624,"Внутри сети",'База данных'!$E$2:$E$624)/SUM('База данных'!$E$2:$E$624),4)</f>
        <v>0.91549999999999998</v>
      </c>
      <c r="F14" s="10" t="str">
        <f t="shared" si="1"/>
        <v>Правильный ответ</v>
      </c>
      <c r="O14" s="15">
        <v>0.91549999999999998</v>
      </c>
      <c r="P14" s="29"/>
    </row>
    <row r="15" spans="1:16" ht="51" customHeight="1" x14ac:dyDescent="0.35">
      <c r="A15" s="4">
        <v>13</v>
      </c>
      <c r="B15" s="10">
        <f t="shared" si="0"/>
        <v>13</v>
      </c>
      <c r="C15" s="11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40">
        <f>ROUND(SUMIF('База данных'!$B$2:$B$624,1,'База данных'!$D$2:$D$624)/SUM('База данных'!$D$2:$D$624),4)</f>
        <v>0.36420000000000002</v>
      </c>
      <c r="F15" s="10" t="str">
        <f t="shared" si="1"/>
        <v>Правильный ответ</v>
      </c>
      <c r="O15" s="16">
        <v>0.36420000000000002</v>
      </c>
      <c r="P15" s="29"/>
    </row>
    <row r="16" spans="1:16" ht="51" customHeight="1" x14ac:dyDescent="0.35">
      <c r="A16" s="4">
        <v>14</v>
      </c>
      <c r="B16" s="10">
        <f t="shared" si="0"/>
        <v>14</v>
      </c>
      <c r="C16" s="11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41">
        <f>ROUND(SUMPRODUCT(1/COUNTIF('База данных'!$A$2:$A$624,'База данных'!$A$2:$A$624)),0)</f>
        <v>292</v>
      </c>
      <c r="F16" s="10" t="str">
        <f t="shared" si="1"/>
        <v>Правильный ответ</v>
      </c>
      <c r="H16" s="28"/>
      <c r="O16" s="30">
        <v>292</v>
      </c>
      <c r="P16" s="29"/>
    </row>
    <row r="17" spans="1:16" ht="52.5" customHeight="1" x14ac:dyDescent="0.35">
      <c r="A17" s="4">
        <v>15</v>
      </c>
      <c r="B17" s="10">
        <f t="shared" si="0"/>
        <v>15</v>
      </c>
      <c r="C17" s="11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41">
        <f>ROUND(SUMPRODUCT(('База данных'!$C$2:$C$624="Внутри сети")/COUNTIFS('База данных'!$A$2:$A$624,'База данных'!$A$2:$A$624,'База данных'!$C$2:$C$624,'База данных'!$C$2:$C$624)),0)</f>
        <v>290</v>
      </c>
      <c r="F17" s="10" t="str">
        <f t="shared" si="1"/>
        <v>Правильный ответ</v>
      </c>
      <c r="O17" s="4">
        <v>290</v>
      </c>
      <c r="P17" s="29"/>
    </row>
    <row r="18" spans="1:16" ht="48" customHeight="1" x14ac:dyDescent="0.35">
      <c r="A18" s="4">
        <v>16</v>
      </c>
      <c r="B18" s="10">
        <f t="shared" si="0"/>
        <v>16</v>
      </c>
      <c r="C18" s="11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38">
        <f>ROUND(SUMPRODUCT(('База данных'!$B$2:$B$624=6)/COUNTIFS('База данных'!$A$2:$A$624,'База данных'!$A$2:$A$624,'База данных'!$B$2:$B$624,'База данных'!$B$2:$B$624)),0)</f>
        <v>63</v>
      </c>
      <c r="F18" s="10" t="str">
        <f t="shared" si="1"/>
        <v>Правильный ответ</v>
      </c>
      <c r="O18" s="4">
        <v>63</v>
      </c>
      <c r="P18" s="29"/>
    </row>
    <row r="19" spans="1:16" ht="45.75" customHeight="1" x14ac:dyDescent="0.35">
      <c r="A19" s="4">
        <v>17</v>
      </c>
      <c r="B19" s="10">
        <f t="shared" si="0"/>
        <v>17</v>
      </c>
      <c r="C19" s="11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40">
        <f>ROUND(ROUND(SUMPRODUCT(('База данных'!$B$2:$B$624=2)/COUNTIFS('База данных'!$A$2:$A$624,'База данных'!$A$2:$A$624,'База данных'!$B$2:$B$624,'База данных'!$B$2:$B$624)),0)/ROUND(SUMPRODUCT(1/COUNTIF('База данных'!$A$2:$A$624,'База данных'!$A$2:$A$624)),0),4)</f>
        <v>0.1096</v>
      </c>
      <c r="F19" s="10" t="str">
        <f t="shared" si="1"/>
        <v>Правильный ответ</v>
      </c>
      <c r="O19" s="4">
        <v>0.1096</v>
      </c>
      <c r="P19" s="29"/>
    </row>
    <row r="20" spans="1:16" ht="45.75" customHeight="1" x14ac:dyDescent="0.35">
      <c r="A20" s="4">
        <v>18</v>
      </c>
      <c r="B20" s="10">
        <f t="shared" si="0"/>
        <v>18</v>
      </c>
      <c r="C20" s="11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37">
        <f>ROUND(SUM('База данных'!$D$2:$D$624)/ROUND(SUMPRODUCT(1/COUNTIF('База данных'!$A$2:$A$624,'База данных'!$A$2:$A$624)),0),2)</f>
        <v>13.35</v>
      </c>
      <c r="F20" s="10" t="str">
        <f t="shared" si="1"/>
        <v>Правильный ответ</v>
      </c>
      <c r="O20" s="14">
        <v>13.35</v>
      </c>
      <c r="P20" s="29"/>
    </row>
    <row r="21" spans="1:16" ht="45.75" customHeight="1" x14ac:dyDescent="0.35">
      <c r="A21" s="4">
        <v>19</v>
      </c>
      <c r="B21" s="10">
        <f t="shared" si="0"/>
        <v>19</v>
      </c>
      <c r="C21" s="11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42">
        <f>ROUND(SUM('База данных'!$E$2:$E$624)/60/ROUND(SUMPRODUCT(1/COUNTIF('База данных'!$A$2:$A$624,'База данных'!$A$2:$A$624)),0),1)</f>
        <v>0.4</v>
      </c>
      <c r="F21" s="10" t="str">
        <f t="shared" si="1"/>
        <v>Правильный ответ</v>
      </c>
      <c r="O21" s="31">
        <v>0.4</v>
      </c>
      <c r="P21" s="29"/>
    </row>
    <row r="22" spans="1:16" ht="45.75" customHeight="1" x14ac:dyDescent="0.35">
      <c r="A22" s="4">
        <v>20</v>
      </c>
      <c r="B22" s="10">
        <f t="shared" si="0"/>
        <v>20</v>
      </c>
      <c r="C22" s="11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8">
        <f>SUMIF('База данных'!$B$2:$B$624,INDEX('База данных'!$B$2:$B$624,MATCH(77010000055,'База данных'!$A$2:$A$624,0)),'База данных'!$E$2:$E$624)</f>
        <v>2705</v>
      </c>
      <c r="F22" s="10" t="str">
        <f t="shared" si="1"/>
        <v>Правильный ответ</v>
      </c>
      <c r="O22" s="4">
        <v>2705</v>
      </c>
      <c r="P22" s="29"/>
    </row>
    <row r="23" spans="1:16" ht="46.5" customHeight="1" x14ac:dyDescent="0.35">
      <c r="A23" s="4">
        <v>21</v>
      </c>
      <c r="B23" s="10">
        <f t="shared" si="0"/>
        <v>21</v>
      </c>
      <c r="C23" s="11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43">
        <f>INDEX('Расчёт по абонентам'!$A$2:$A$293,MATCH(MAX('Расчёт по абонентам'!$C$2:$C$293),'Расчёт по абонентам'!$C$2:$C$293,0))</f>
        <v>77010000109</v>
      </c>
      <c r="F23" s="10" t="str">
        <f t="shared" si="1"/>
        <v>Правильный ответ</v>
      </c>
      <c r="O23" s="4">
        <v>77010000109</v>
      </c>
      <c r="P23" s="29"/>
    </row>
    <row r="24" spans="1:16" ht="46.5" customHeight="1" x14ac:dyDescent="0.35">
      <c r="A24" s="4">
        <v>22</v>
      </c>
      <c r="B24" s="10">
        <f t="shared" si="0"/>
        <v>22</v>
      </c>
      <c r="C24" s="11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43">
        <f>INDEX('Расчёт по абонентам'!$A$2:$A$293,MATCH(MAX('Расчёт по абонентам'!$E$2:$E$293),'Расчёт по абонентам'!$E$2:$E$293,0))</f>
        <v>77010000211</v>
      </c>
      <c r="F24" s="10" t="str">
        <f t="shared" si="1"/>
        <v>Правильный ответ</v>
      </c>
      <c r="O24" s="4">
        <v>77010000211</v>
      </c>
      <c r="P24" s="29"/>
    </row>
    <row r="25" spans="1:16" ht="48.75" customHeight="1" x14ac:dyDescent="0.35">
      <c r="A25" s="4">
        <v>23</v>
      </c>
      <c r="B25" s="10">
        <f t="shared" si="0"/>
        <v>23</v>
      </c>
      <c r="C25" s="11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43">
        <f>INDEX('Расчёт по абонентам'!$A$2:$A$293,MATCH(LARGE('Расчёт по абонентам'!$C$2:$C$293,7),'Расчёт по абонентам'!$C$2:$C$293,0))</f>
        <v>77010000133</v>
      </c>
      <c r="F25" s="10" t="str">
        <f t="shared" si="1"/>
        <v>Правильный ответ</v>
      </c>
      <c r="O25" s="4">
        <v>77010000133</v>
      </c>
      <c r="P25" s="29"/>
    </row>
    <row r="26" spans="1:16" ht="55.5" customHeight="1" x14ac:dyDescent="0.35">
      <c r="A26" s="4">
        <v>24</v>
      </c>
      <c r="B26" s="10">
        <f t="shared" si="0"/>
        <v>24</v>
      </c>
      <c r="C26" s="11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44" t="str">
        <f>MID(IF(COUNTIFS('База данных'!$B$2:$B$624,6,'База данных'!$C$2:$C$624,"Внутри сети")=0,", Внутри сети","")&amp;IF(COUNTIFS('База данных'!$B$2:$B$624,6,'База данных'!$C$2:$C$624,"На других операторов")=0,", На других операторов","")&amp;IF(COUNTIFS('База данных'!$B$2:$B$624,6,'База данных'!$C$2:$C$624,"На городской")=0,", На городской","")&amp;IF(COUNTIFS('База данных'!$B$2:$B$624,6,'База данных'!$C$2:$C$624,"На межнар")=0,", На межнар","")&amp;IF(COUNTIFS('База данных'!$B$2:$B$624,6,'База данных'!$C$2:$C$624,"Другое")=0,", Другое",""),3,200)</f>
        <v>На городской, Другое</v>
      </c>
      <c r="F26" s="10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4" t="s">
        <v>5</v>
      </c>
      <c r="P26" s="4" t="s">
        <v>6</v>
      </c>
    </row>
    <row r="27" spans="1:16" ht="55.5" customHeight="1" x14ac:dyDescent="0.35">
      <c r="C27" s="12" t="str">
        <f>IF(F26="Правильный ответ","Тест пройден. Поздравляем!","")</f>
        <v>Тест пройден. Поздравляем!</v>
      </c>
    </row>
  </sheetData>
  <sheetProtection password="8CB1" sheet="1"/>
  <conditionalFormatting sqref="B4:B26">
    <cfRule type="expression" dxfId="15" priority="12" stopIfTrue="1">
      <formula>F3="Неправильный ответ"</formula>
    </cfRule>
  </conditionalFormatting>
  <conditionalFormatting sqref="B16">
    <cfRule type="expression" dxfId="14" priority="20" stopIfTrue="1">
      <formula>#REF!="Неправильный ответ"</formula>
    </cfRule>
  </conditionalFormatting>
  <conditionalFormatting sqref="C4:C26">
    <cfRule type="expression" dxfId="13" priority="11" stopIfTrue="1">
      <formula>F3="Неправильный ответ"</formula>
    </cfRule>
  </conditionalFormatting>
  <conditionalFormatting sqref="C15:C16">
    <cfRule type="expression" dxfId="12" priority="21" stopIfTrue="1">
      <formula>#REF!="Неправильный ответ"</formula>
    </cfRule>
  </conditionalFormatting>
  <conditionalFormatting sqref="D4:D26">
    <cfRule type="expression" dxfId="0" priority="1" stopIfTrue="1">
      <formula>F3="Неправильный ответ"</formula>
    </cfRule>
  </conditionalFormatting>
  <conditionalFormatting sqref="D15">
    <cfRule type="expression" dxfId="11" priority="22" stopIfTrue="1">
      <formula>#REF!="Неправильный ответ"</formula>
    </cfRule>
  </conditionalFormatting>
  <conditionalFormatting sqref="F3">
    <cfRule type="cellIs" dxfId="10" priority="9" stopIfTrue="1" operator="equal">
      <formula>"Правильный ответ"</formula>
    </cfRule>
  </conditionalFormatting>
  <conditionalFormatting sqref="F4:F26">
    <cfRule type="cellIs" dxfId="9" priority="15" stopIfTrue="1" operator="equal">
      <formula>"Правильный ответ"</formula>
    </cfRule>
    <cfRule type="expression" dxfId="8" priority="16" stopIfTrue="1">
      <formula>F3="Неправильный ответ"</formula>
    </cfRule>
    <cfRule type="cellIs" dxfId="7" priority="18" stopIfTrue="1" operator="equal">
      <formula>"Правильный ответ"</formula>
    </cfRule>
  </conditionalFormatting>
  <conditionalFormatting sqref="F15:F16">
    <cfRule type="cellIs" dxfId="6" priority="24" stopIfTrue="1" operator="equal">
      <formula>"Правильный ответ"</formula>
    </cfRule>
    <cfRule type="expression" dxfId="5" priority="25" stopIfTrue="1">
      <formula>#REF!="Неправильный ответ"</formula>
    </cfRule>
    <cfRule type="cellIs" dxfId="4" priority="27" stopIfTrue="1" operator="equal">
      <formula>"Правильный ответ"</formula>
    </cfRule>
  </conditionalFormatting>
  <conditionalFormatting sqref="F3:F26">
    <cfRule type="cellIs" dxfId="3" priority="14" operator="equal">
      <formula>"Правильный ответ"</formula>
    </cfRule>
    <cfRule type="cellIs" dxfId="2" priority="28" operator="equal">
      <formula>"Неправильный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C8" sqref="C8"/>
    </sheetView>
  </sheetViews>
  <sheetFormatPr defaultRowHeight="14.5" x14ac:dyDescent="0.35"/>
  <cols>
    <col min="1" max="1" width="20.54296875" style="25" customWidth="1"/>
    <col min="2" max="2" width="16.6328125" style="25" customWidth="1"/>
    <col min="3" max="3" width="32.54296875" style="25" customWidth="1"/>
    <col min="4" max="4" width="18.36328125" style="25" customWidth="1"/>
    <col min="5" max="5" width="24" style="32" customWidth="1"/>
  </cols>
  <sheetData>
    <row r="1" spans="1:5" s="1" customFormat="1" ht="28.75" customHeight="1" x14ac:dyDescent="0.35">
      <c r="A1" s="17" t="s">
        <v>7</v>
      </c>
      <c r="B1" s="18" t="s">
        <v>8</v>
      </c>
      <c r="C1" s="17" t="s">
        <v>9</v>
      </c>
      <c r="D1" s="18" t="s">
        <v>10</v>
      </c>
      <c r="E1" s="33" t="s">
        <v>11</v>
      </c>
    </row>
    <row r="2" spans="1:5" x14ac:dyDescent="0.35">
      <c r="A2" s="19">
        <v>77010000068</v>
      </c>
      <c r="B2" s="19">
        <v>1</v>
      </c>
      <c r="C2" s="20" t="s">
        <v>12</v>
      </c>
      <c r="D2" s="19">
        <v>0</v>
      </c>
      <c r="E2" s="34">
        <v>0</v>
      </c>
    </row>
    <row r="3" spans="1:5" x14ac:dyDescent="0.35">
      <c r="A3" s="21">
        <v>77010000001</v>
      </c>
      <c r="B3" s="21">
        <v>1</v>
      </c>
      <c r="C3" s="22" t="s">
        <v>12</v>
      </c>
      <c r="D3" s="21">
        <v>0.43</v>
      </c>
      <c r="E3" s="35">
        <v>1</v>
      </c>
    </row>
    <row r="4" spans="1:5" x14ac:dyDescent="0.35">
      <c r="A4" s="21">
        <v>77010000003</v>
      </c>
      <c r="B4" s="21">
        <v>1</v>
      </c>
      <c r="C4" s="22" t="s">
        <v>12</v>
      </c>
      <c r="D4" s="21">
        <v>0.43</v>
      </c>
      <c r="E4" s="35">
        <v>1</v>
      </c>
    </row>
    <row r="5" spans="1:5" x14ac:dyDescent="0.35">
      <c r="A5" s="21">
        <v>77010000004</v>
      </c>
      <c r="B5" s="21">
        <v>1</v>
      </c>
      <c r="C5" s="22" t="s">
        <v>12</v>
      </c>
      <c r="D5" s="21">
        <v>0.43</v>
      </c>
      <c r="E5" s="35">
        <v>1</v>
      </c>
    </row>
    <row r="6" spans="1:5" x14ac:dyDescent="0.35">
      <c r="A6" s="21">
        <v>77010000008</v>
      </c>
      <c r="B6" s="21">
        <v>1</v>
      </c>
      <c r="C6" s="22" t="s">
        <v>12</v>
      </c>
      <c r="D6" s="21">
        <v>0.43</v>
      </c>
      <c r="E6" s="35">
        <v>1</v>
      </c>
    </row>
    <row r="7" spans="1:5" x14ac:dyDescent="0.35">
      <c r="A7" s="21">
        <v>77010000052</v>
      </c>
      <c r="B7" s="21">
        <v>1</v>
      </c>
      <c r="C7" s="22" t="s">
        <v>12</v>
      </c>
      <c r="D7" s="21">
        <v>0.43</v>
      </c>
      <c r="E7" s="35">
        <v>1</v>
      </c>
    </row>
    <row r="8" spans="1:5" x14ac:dyDescent="0.35">
      <c r="A8" s="21">
        <v>77010000060</v>
      </c>
      <c r="B8" s="21">
        <v>1</v>
      </c>
      <c r="C8" s="22" t="s">
        <v>12</v>
      </c>
      <c r="D8" s="21">
        <v>0.43</v>
      </c>
      <c r="E8" s="35">
        <v>1</v>
      </c>
    </row>
    <row r="9" spans="1:5" x14ac:dyDescent="0.35">
      <c r="A9" s="21">
        <v>77010000046</v>
      </c>
      <c r="B9" s="21">
        <v>1</v>
      </c>
      <c r="C9" s="22" t="s">
        <v>12</v>
      </c>
      <c r="D9" s="21">
        <v>0.43</v>
      </c>
      <c r="E9" s="35">
        <v>1</v>
      </c>
    </row>
    <row r="10" spans="1:5" x14ac:dyDescent="0.35">
      <c r="A10" s="21">
        <v>77010000054</v>
      </c>
      <c r="B10" s="21">
        <v>1</v>
      </c>
      <c r="C10" s="22" t="s">
        <v>12</v>
      </c>
      <c r="D10" s="21">
        <v>0.43</v>
      </c>
      <c r="E10" s="35">
        <v>1</v>
      </c>
    </row>
    <row r="11" spans="1:5" x14ac:dyDescent="0.35">
      <c r="A11" s="21">
        <v>77010000062</v>
      </c>
      <c r="B11" s="21">
        <v>1</v>
      </c>
      <c r="C11" s="22" t="s">
        <v>12</v>
      </c>
      <c r="D11" s="21">
        <v>0.43</v>
      </c>
      <c r="E11" s="35">
        <v>1</v>
      </c>
    </row>
    <row r="12" spans="1:5" x14ac:dyDescent="0.35">
      <c r="A12" s="21">
        <v>77010000065</v>
      </c>
      <c r="B12" s="21">
        <v>1</v>
      </c>
      <c r="C12" s="22" t="s">
        <v>12</v>
      </c>
      <c r="D12" s="21">
        <v>0.43</v>
      </c>
      <c r="E12" s="35">
        <v>1</v>
      </c>
    </row>
    <row r="13" spans="1:5" x14ac:dyDescent="0.35">
      <c r="A13" s="21">
        <v>77010000066</v>
      </c>
      <c r="B13" s="21">
        <v>1</v>
      </c>
      <c r="C13" s="22" t="s">
        <v>12</v>
      </c>
      <c r="D13" s="21">
        <v>0.43</v>
      </c>
      <c r="E13" s="35">
        <v>1</v>
      </c>
    </row>
    <row r="14" spans="1:5" x14ac:dyDescent="0.35">
      <c r="A14" s="21">
        <v>77010000063</v>
      </c>
      <c r="B14" s="21">
        <v>1</v>
      </c>
      <c r="C14" s="22" t="s">
        <v>13</v>
      </c>
      <c r="D14" s="21">
        <v>7.43</v>
      </c>
      <c r="E14" s="35">
        <v>1</v>
      </c>
    </row>
    <row r="15" spans="1:5" x14ac:dyDescent="0.35">
      <c r="A15" s="21">
        <v>77010000066</v>
      </c>
      <c r="B15" s="21">
        <v>1</v>
      </c>
      <c r="C15" s="22" t="s">
        <v>12</v>
      </c>
      <c r="D15" s="21">
        <v>0.43</v>
      </c>
      <c r="E15" s="35">
        <v>1</v>
      </c>
    </row>
    <row r="16" spans="1:5" x14ac:dyDescent="0.35">
      <c r="A16" s="21">
        <v>77010000045</v>
      </c>
      <c r="B16" s="21">
        <v>1</v>
      </c>
      <c r="C16" s="22" t="s">
        <v>12</v>
      </c>
      <c r="D16" s="21">
        <v>0.43</v>
      </c>
      <c r="E16" s="35">
        <v>1</v>
      </c>
    </row>
    <row r="17" spans="1:5" x14ac:dyDescent="0.35">
      <c r="A17" s="21">
        <v>77010000082</v>
      </c>
      <c r="B17" s="21">
        <v>1</v>
      </c>
      <c r="C17" s="22" t="s">
        <v>12</v>
      </c>
      <c r="D17" s="21">
        <v>0.43</v>
      </c>
      <c r="E17" s="35">
        <v>1</v>
      </c>
    </row>
    <row r="18" spans="1:5" x14ac:dyDescent="0.35">
      <c r="A18" s="21">
        <v>77010000094</v>
      </c>
      <c r="B18" s="21">
        <v>1</v>
      </c>
      <c r="C18" s="22" t="s">
        <v>12</v>
      </c>
      <c r="D18" s="21">
        <v>0.43</v>
      </c>
      <c r="E18" s="35">
        <v>1</v>
      </c>
    </row>
    <row r="19" spans="1:5" x14ac:dyDescent="0.35">
      <c r="A19" s="21">
        <v>77010000003</v>
      </c>
      <c r="B19" s="21">
        <v>1</v>
      </c>
      <c r="C19" s="22" t="s">
        <v>12</v>
      </c>
      <c r="D19" s="21">
        <v>0.43</v>
      </c>
      <c r="E19" s="35">
        <v>1</v>
      </c>
    </row>
    <row r="20" spans="1:5" x14ac:dyDescent="0.35">
      <c r="A20" s="21">
        <v>77010000042</v>
      </c>
      <c r="B20" s="21">
        <v>1</v>
      </c>
      <c r="C20" s="22" t="s">
        <v>14</v>
      </c>
      <c r="D20" s="21">
        <v>7.43</v>
      </c>
      <c r="E20" s="35">
        <v>1</v>
      </c>
    </row>
    <row r="21" spans="1:5" x14ac:dyDescent="0.35">
      <c r="A21" s="21">
        <v>77010000008</v>
      </c>
      <c r="B21" s="21">
        <v>1</v>
      </c>
      <c r="C21" s="22" t="s">
        <v>12</v>
      </c>
      <c r="D21" s="21">
        <v>0.43</v>
      </c>
      <c r="E21" s="35">
        <v>1</v>
      </c>
    </row>
    <row r="22" spans="1:5" x14ac:dyDescent="0.35">
      <c r="A22" s="21">
        <v>77010000014</v>
      </c>
      <c r="B22" s="21">
        <v>1</v>
      </c>
      <c r="C22" s="22" t="s">
        <v>12</v>
      </c>
      <c r="D22" s="21">
        <v>0.43</v>
      </c>
      <c r="E22" s="35">
        <v>1</v>
      </c>
    </row>
    <row r="23" spans="1:5" x14ac:dyDescent="0.35">
      <c r="A23" s="21">
        <v>77010000017</v>
      </c>
      <c r="B23" s="21">
        <v>1</v>
      </c>
      <c r="C23" s="22" t="s">
        <v>12</v>
      </c>
      <c r="D23" s="21">
        <v>0.43</v>
      </c>
      <c r="E23" s="35">
        <v>1</v>
      </c>
    </row>
    <row r="24" spans="1:5" x14ac:dyDescent="0.35">
      <c r="A24" s="21">
        <v>77010000040</v>
      </c>
      <c r="B24" s="21">
        <v>1</v>
      </c>
      <c r="C24" s="22" t="s">
        <v>12</v>
      </c>
      <c r="D24" s="21">
        <v>0.43</v>
      </c>
      <c r="E24" s="35">
        <v>1</v>
      </c>
    </row>
    <row r="25" spans="1:5" x14ac:dyDescent="0.35">
      <c r="A25" s="21">
        <v>77010000056</v>
      </c>
      <c r="B25" s="21">
        <v>1</v>
      </c>
      <c r="C25" s="22" t="s">
        <v>12</v>
      </c>
      <c r="D25" s="21">
        <v>0.43</v>
      </c>
      <c r="E25" s="35">
        <v>1</v>
      </c>
    </row>
    <row r="26" spans="1:5" x14ac:dyDescent="0.35">
      <c r="A26" s="21">
        <v>77010000061</v>
      </c>
      <c r="B26" s="21">
        <v>1</v>
      </c>
      <c r="C26" s="22" t="s">
        <v>12</v>
      </c>
      <c r="D26" s="21">
        <v>0.43</v>
      </c>
      <c r="E26" s="35">
        <v>1</v>
      </c>
    </row>
    <row r="27" spans="1:5" x14ac:dyDescent="0.35">
      <c r="A27" s="21">
        <v>77010000078</v>
      </c>
      <c r="B27" s="21">
        <v>1</v>
      </c>
      <c r="C27" s="22" t="s">
        <v>12</v>
      </c>
      <c r="D27" s="21">
        <v>0.43</v>
      </c>
      <c r="E27" s="35">
        <v>1</v>
      </c>
    </row>
    <row r="28" spans="1:5" x14ac:dyDescent="0.35">
      <c r="A28" s="21">
        <v>77010000005</v>
      </c>
      <c r="B28" s="21">
        <v>1</v>
      </c>
      <c r="C28" s="22" t="s">
        <v>12</v>
      </c>
      <c r="D28" s="21">
        <v>0.85</v>
      </c>
      <c r="E28" s="35">
        <v>2</v>
      </c>
    </row>
    <row r="29" spans="1:5" x14ac:dyDescent="0.35">
      <c r="A29" s="21">
        <v>77010000006</v>
      </c>
      <c r="B29" s="21">
        <v>1</v>
      </c>
      <c r="C29" s="22" t="s">
        <v>12</v>
      </c>
      <c r="D29" s="21">
        <v>0.85</v>
      </c>
      <c r="E29" s="35">
        <v>2</v>
      </c>
    </row>
    <row r="30" spans="1:5" x14ac:dyDescent="0.35">
      <c r="A30" s="21">
        <v>77010000051</v>
      </c>
      <c r="B30" s="21">
        <v>1</v>
      </c>
      <c r="C30" s="22" t="s">
        <v>13</v>
      </c>
      <c r="D30" s="21">
        <v>7.43</v>
      </c>
      <c r="E30" s="35">
        <v>2</v>
      </c>
    </row>
    <row r="31" spans="1:5" x14ac:dyDescent="0.35">
      <c r="A31" s="21">
        <v>77010000058</v>
      </c>
      <c r="B31" s="21">
        <v>1</v>
      </c>
      <c r="C31" s="22" t="s">
        <v>12</v>
      </c>
      <c r="D31" s="21">
        <v>0.85</v>
      </c>
      <c r="E31" s="35">
        <v>2</v>
      </c>
    </row>
    <row r="32" spans="1:5" x14ac:dyDescent="0.35">
      <c r="A32" s="21">
        <v>77010000070</v>
      </c>
      <c r="B32" s="21">
        <v>1</v>
      </c>
      <c r="C32" s="22" t="s">
        <v>12</v>
      </c>
      <c r="D32" s="21">
        <v>0.85</v>
      </c>
      <c r="E32" s="35">
        <v>2</v>
      </c>
    </row>
    <row r="33" spans="1:5" x14ac:dyDescent="0.35">
      <c r="A33" s="21">
        <v>77010000058</v>
      </c>
      <c r="B33" s="21">
        <v>1</v>
      </c>
      <c r="C33" s="22" t="s">
        <v>12</v>
      </c>
      <c r="D33" s="21">
        <v>0.85</v>
      </c>
      <c r="E33" s="35">
        <v>2</v>
      </c>
    </row>
    <row r="34" spans="1:5" x14ac:dyDescent="0.35">
      <c r="A34" s="21">
        <v>77010000064</v>
      </c>
      <c r="B34" s="21">
        <v>1</v>
      </c>
      <c r="C34" s="22" t="s">
        <v>12</v>
      </c>
      <c r="D34" s="21">
        <v>0.85</v>
      </c>
      <c r="E34" s="35">
        <v>2</v>
      </c>
    </row>
    <row r="35" spans="1:5" x14ac:dyDescent="0.35">
      <c r="A35" s="21">
        <v>77010000065</v>
      </c>
      <c r="B35" s="21">
        <v>1</v>
      </c>
      <c r="C35" s="22" t="s">
        <v>12</v>
      </c>
      <c r="D35" s="21">
        <v>0.85</v>
      </c>
      <c r="E35" s="35">
        <v>2</v>
      </c>
    </row>
    <row r="36" spans="1:5" x14ac:dyDescent="0.35">
      <c r="A36" s="21">
        <v>77010000037</v>
      </c>
      <c r="B36" s="21">
        <v>1</v>
      </c>
      <c r="C36" s="22" t="s">
        <v>14</v>
      </c>
      <c r="D36" s="21">
        <v>7.43</v>
      </c>
      <c r="E36" s="35">
        <v>2</v>
      </c>
    </row>
    <row r="37" spans="1:5" x14ac:dyDescent="0.35">
      <c r="A37" s="21">
        <v>77010000078</v>
      </c>
      <c r="B37" s="21">
        <v>1</v>
      </c>
      <c r="C37" s="22" t="s">
        <v>12</v>
      </c>
      <c r="D37" s="21">
        <v>0.85</v>
      </c>
      <c r="E37" s="35">
        <v>2</v>
      </c>
    </row>
    <row r="38" spans="1:5" x14ac:dyDescent="0.35">
      <c r="A38" s="21">
        <v>77010000086</v>
      </c>
      <c r="B38" s="21">
        <v>1</v>
      </c>
      <c r="C38" s="22" t="s">
        <v>12</v>
      </c>
      <c r="D38" s="21">
        <v>0.85</v>
      </c>
      <c r="E38" s="35">
        <v>2</v>
      </c>
    </row>
    <row r="39" spans="1:5" x14ac:dyDescent="0.35">
      <c r="A39" s="21">
        <v>77010000092</v>
      </c>
      <c r="B39" s="21">
        <v>1</v>
      </c>
      <c r="C39" s="22" t="s">
        <v>12</v>
      </c>
      <c r="D39" s="21">
        <v>0.85</v>
      </c>
      <c r="E39" s="35">
        <v>2</v>
      </c>
    </row>
    <row r="40" spans="1:5" x14ac:dyDescent="0.35">
      <c r="A40" s="21">
        <v>77010000095</v>
      </c>
      <c r="B40" s="21">
        <v>1</v>
      </c>
      <c r="C40" s="22" t="s">
        <v>12</v>
      </c>
      <c r="D40" s="21">
        <v>0.85</v>
      </c>
      <c r="E40" s="35">
        <v>2</v>
      </c>
    </row>
    <row r="41" spans="1:5" x14ac:dyDescent="0.35">
      <c r="A41" s="21">
        <v>77010000001</v>
      </c>
      <c r="B41" s="21">
        <v>1</v>
      </c>
      <c r="C41" s="22" t="s">
        <v>12</v>
      </c>
      <c r="D41" s="21">
        <v>0.85</v>
      </c>
      <c r="E41" s="35">
        <v>2</v>
      </c>
    </row>
    <row r="42" spans="1:5" x14ac:dyDescent="0.35">
      <c r="A42" s="21">
        <v>77010000009</v>
      </c>
      <c r="B42" s="21">
        <v>1</v>
      </c>
      <c r="C42" s="22" t="s">
        <v>12</v>
      </c>
      <c r="D42" s="21">
        <v>0.85</v>
      </c>
      <c r="E42" s="35">
        <v>2</v>
      </c>
    </row>
    <row r="43" spans="1:5" x14ac:dyDescent="0.35">
      <c r="A43" s="21">
        <v>77010000010</v>
      </c>
      <c r="B43" s="21">
        <v>1</v>
      </c>
      <c r="C43" s="22" t="s">
        <v>12</v>
      </c>
      <c r="D43" s="21">
        <v>0.85</v>
      </c>
      <c r="E43" s="35">
        <v>2</v>
      </c>
    </row>
    <row r="44" spans="1:5" x14ac:dyDescent="0.35">
      <c r="A44" s="21">
        <v>77010000016</v>
      </c>
      <c r="B44" s="21">
        <v>1</v>
      </c>
      <c r="C44" s="22" t="s">
        <v>12</v>
      </c>
      <c r="D44" s="21">
        <v>0.85</v>
      </c>
      <c r="E44" s="35">
        <v>2</v>
      </c>
    </row>
    <row r="45" spans="1:5" x14ac:dyDescent="0.35">
      <c r="A45" s="21">
        <v>77010000081</v>
      </c>
      <c r="B45" s="21">
        <v>1</v>
      </c>
      <c r="C45" s="22" t="s">
        <v>12</v>
      </c>
      <c r="D45" s="21">
        <v>0.85</v>
      </c>
      <c r="E45" s="35">
        <v>2</v>
      </c>
    </row>
    <row r="46" spans="1:5" x14ac:dyDescent="0.35">
      <c r="A46" s="21">
        <v>77010000067</v>
      </c>
      <c r="B46" s="21">
        <v>1</v>
      </c>
      <c r="C46" s="22" t="s">
        <v>12</v>
      </c>
      <c r="D46" s="21">
        <v>1.28</v>
      </c>
      <c r="E46" s="35">
        <v>3</v>
      </c>
    </row>
    <row r="47" spans="1:5" x14ac:dyDescent="0.35">
      <c r="A47" s="21">
        <v>77010000075</v>
      </c>
      <c r="B47" s="21">
        <v>1</v>
      </c>
      <c r="C47" s="22" t="s">
        <v>12</v>
      </c>
      <c r="D47" s="21">
        <v>1.28</v>
      </c>
      <c r="E47" s="35">
        <v>3</v>
      </c>
    </row>
    <row r="48" spans="1:5" x14ac:dyDescent="0.35">
      <c r="A48" s="21">
        <v>77010000088</v>
      </c>
      <c r="B48" s="21">
        <v>1</v>
      </c>
      <c r="C48" s="22" t="s">
        <v>12</v>
      </c>
      <c r="D48" s="21">
        <v>1.28</v>
      </c>
      <c r="E48" s="35">
        <v>3</v>
      </c>
    </row>
    <row r="49" spans="1:5" x14ac:dyDescent="0.35">
      <c r="A49" s="21">
        <v>77010000002</v>
      </c>
      <c r="B49" s="21">
        <v>1</v>
      </c>
      <c r="C49" s="22" t="s">
        <v>12</v>
      </c>
      <c r="D49" s="21">
        <v>1.28</v>
      </c>
      <c r="E49" s="35">
        <v>3</v>
      </c>
    </row>
    <row r="50" spans="1:5" x14ac:dyDescent="0.35">
      <c r="A50" s="21">
        <v>77010000049</v>
      </c>
      <c r="B50" s="21">
        <v>1</v>
      </c>
      <c r="C50" s="22" t="s">
        <v>12</v>
      </c>
      <c r="D50" s="21">
        <v>1.28</v>
      </c>
      <c r="E50" s="35">
        <v>3</v>
      </c>
    </row>
    <row r="51" spans="1:5" x14ac:dyDescent="0.35">
      <c r="A51" s="21">
        <v>77010000079</v>
      </c>
      <c r="B51" s="21">
        <v>1</v>
      </c>
      <c r="C51" s="22" t="s">
        <v>12</v>
      </c>
      <c r="D51" s="21">
        <v>1.28</v>
      </c>
      <c r="E51" s="35">
        <v>3</v>
      </c>
    </row>
    <row r="52" spans="1:5" x14ac:dyDescent="0.35">
      <c r="A52" s="21">
        <v>77010000002</v>
      </c>
      <c r="B52" s="21">
        <v>1</v>
      </c>
      <c r="C52" s="22" t="s">
        <v>12</v>
      </c>
      <c r="D52" s="21">
        <v>1.7</v>
      </c>
      <c r="E52" s="35">
        <v>4</v>
      </c>
    </row>
    <row r="53" spans="1:5" x14ac:dyDescent="0.35">
      <c r="A53" s="21">
        <v>77010000048</v>
      </c>
      <c r="B53" s="21">
        <v>1</v>
      </c>
      <c r="C53" s="22" t="s">
        <v>12</v>
      </c>
      <c r="D53" s="21">
        <v>1.7</v>
      </c>
      <c r="E53" s="35">
        <v>4</v>
      </c>
    </row>
    <row r="54" spans="1:5" x14ac:dyDescent="0.35">
      <c r="A54" s="21">
        <v>77010000064</v>
      </c>
      <c r="B54" s="21">
        <v>1</v>
      </c>
      <c r="C54" s="22" t="s">
        <v>12</v>
      </c>
      <c r="D54" s="21">
        <v>1.7</v>
      </c>
      <c r="E54" s="35">
        <v>4</v>
      </c>
    </row>
    <row r="55" spans="1:5" x14ac:dyDescent="0.35">
      <c r="A55" s="21">
        <v>77010000061</v>
      </c>
      <c r="B55" s="21">
        <v>1</v>
      </c>
      <c r="C55" s="22" t="s">
        <v>12</v>
      </c>
      <c r="D55" s="21">
        <v>1.7</v>
      </c>
      <c r="E55" s="35">
        <v>4</v>
      </c>
    </row>
    <row r="56" spans="1:5" x14ac:dyDescent="0.35">
      <c r="A56" s="21">
        <v>77010000054</v>
      </c>
      <c r="B56" s="21">
        <v>1</v>
      </c>
      <c r="C56" s="22" t="s">
        <v>13</v>
      </c>
      <c r="D56" s="21">
        <v>7.43</v>
      </c>
      <c r="E56" s="35">
        <v>4</v>
      </c>
    </row>
    <row r="57" spans="1:5" x14ac:dyDescent="0.35">
      <c r="A57" s="21">
        <v>77010000057</v>
      </c>
      <c r="B57" s="21">
        <v>1</v>
      </c>
      <c r="C57" s="22" t="s">
        <v>12</v>
      </c>
      <c r="D57" s="21">
        <v>1.7</v>
      </c>
      <c r="E57" s="35">
        <v>4</v>
      </c>
    </row>
    <row r="58" spans="1:5" x14ac:dyDescent="0.35">
      <c r="A58" s="21">
        <v>77010000084</v>
      </c>
      <c r="B58" s="21">
        <v>1</v>
      </c>
      <c r="C58" s="22" t="s">
        <v>13</v>
      </c>
      <c r="D58" s="21">
        <v>7.43</v>
      </c>
      <c r="E58" s="35">
        <v>4</v>
      </c>
    </row>
    <row r="59" spans="1:5" x14ac:dyDescent="0.35">
      <c r="A59" s="21">
        <v>77010000004</v>
      </c>
      <c r="B59" s="21">
        <v>1</v>
      </c>
      <c r="C59" s="22" t="s">
        <v>12</v>
      </c>
      <c r="D59" s="21">
        <v>1.7</v>
      </c>
      <c r="E59" s="35">
        <v>4</v>
      </c>
    </row>
    <row r="60" spans="1:5" x14ac:dyDescent="0.35">
      <c r="A60" s="21">
        <v>77010000005</v>
      </c>
      <c r="B60" s="21">
        <v>1</v>
      </c>
      <c r="C60" s="22" t="s">
        <v>12</v>
      </c>
      <c r="D60" s="21">
        <v>1.7</v>
      </c>
      <c r="E60" s="35">
        <v>4</v>
      </c>
    </row>
    <row r="61" spans="1:5" x14ac:dyDescent="0.35">
      <c r="A61" s="21">
        <v>77010000007</v>
      </c>
      <c r="B61" s="21">
        <v>1</v>
      </c>
      <c r="C61" s="22" t="s">
        <v>12</v>
      </c>
      <c r="D61" s="21">
        <v>1.7</v>
      </c>
      <c r="E61" s="35">
        <v>4</v>
      </c>
    </row>
    <row r="62" spans="1:5" x14ac:dyDescent="0.35">
      <c r="A62" s="21">
        <v>77010000052</v>
      </c>
      <c r="B62" s="21">
        <v>1</v>
      </c>
      <c r="C62" s="22" t="s">
        <v>12</v>
      </c>
      <c r="D62" s="21">
        <v>1.7</v>
      </c>
      <c r="E62" s="35">
        <v>4</v>
      </c>
    </row>
    <row r="63" spans="1:5" x14ac:dyDescent="0.35">
      <c r="A63" s="21">
        <v>77010000062</v>
      </c>
      <c r="B63" s="21">
        <v>1</v>
      </c>
      <c r="C63" s="22" t="s">
        <v>13</v>
      </c>
      <c r="D63" s="21">
        <v>7.43</v>
      </c>
      <c r="E63" s="35">
        <v>5</v>
      </c>
    </row>
    <row r="64" spans="1:5" x14ac:dyDescent="0.35">
      <c r="A64" s="21">
        <v>77010000048</v>
      </c>
      <c r="B64" s="21">
        <v>1</v>
      </c>
      <c r="C64" s="22" t="s">
        <v>12</v>
      </c>
      <c r="D64" s="21">
        <v>2.13</v>
      </c>
      <c r="E64" s="35">
        <v>5</v>
      </c>
    </row>
    <row r="65" spans="1:5" x14ac:dyDescent="0.35">
      <c r="A65" s="21">
        <v>77010000067</v>
      </c>
      <c r="B65" s="21">
        <v>1</v>
      </c>
      <c r="C65" s="22" t="s">
        <v>12</v>
      </c>
      <c r="D65" s="21">
        <v>2.13</v>
      </c>
      <c r="E65" s="35">
        <v>5</v>
      </c>
    </row>
    <row r="66" spans="1:5" x14ac:dyDescent="0.35">
      <c r="A66" s="21">
        <v>77010000089</v>
      </c>
      <c r="B66" s="21">
        <v>1</v>
      </c>
      <c r="C66" s="22" t="s">
        <v>12</v>
      </c>
      <c r="D66" s="21">
        <v>2.13</v>
      </c>
      <c r="E66" s="35">
        <v>5</v>
      </c>
    </row>
    <row r="67" spans="1:5" x14ac:dyDescent="0.35">
      <c r="A67" s="21">
        <v>77010000093</v>
      </c>
      <c r="B67" s="21">
        <v>1</v>
      </c>
      <c r="C67" s="22" t="s">
        <v>12</v>
      </c>
      <c r="D67" s="21">
        <v>2.13</v>
      </c>
      <c r="E67" s="35">
        <v>5</v>
      </c>
    </row>
    <row r="68" spans="1:5" x14ac:dyDescent="0.35">
      <c r="A68" s="21">
        <v>77010000018</v>
      </c>
      <c r="B68" s="21">
        <v>1</v>
      </c>
      <c r="C68" s="22" t="s">
        <v>12</v>
      </c>
      <c r="D68" s="21">
        <v>2.13</v>
      </c>
      <c r="E68" s="35">
        <v>5</v>
      </c>
    </row>
    <row r="69" spans="1:5" x14ac:dyDescent="0.35">
      <c r="A69" s="21">
        <v>77010000048</v>
      </c>
      <c r="B69" s="21">
        <v>1</v>
      </c>
      <c r="C69" s="22" t="s">
        <v>12</v>
      </c>
      <c r="D69" s="21">
        <v>2.13</v>
      </c>
      <c r="E69" s="35">
        <v>5</v>
      </c>
    </row>
    <row r="70" spans="1:5" x14ac:dyDescent="0.35">
      <c r="A70" s="21">
        <v>77010000073</v>
      </c>
      <c r="B70" s="21">
        <v>1</v>
      </c>
      <c r="C70" s="22" t="s">
        <v>14</v>
      </c>
      <c r="D70" s="21">
        <v>7.43</v>
      </c>
      <c r="E70" s="35">
        <v>5</v>
      </c>
    </row>
    <row r="71" spans="1:5" x14ac:dyDescent="0.35">
      <c r="A71" s="21">
        <v>77010000056</v>
      </c>
      <c r="B71" s="21">
        <v>1</v>
      </c>
      <c r="C71" s="22" t="s">
        <v>13</v>
      </c>
      <c r="D71" s="21">
        <v>7.43</v>
      </c>
      <c r="E71" s="35">
        <v>6</v>
      </c>
    </row>
    <row r="72" spans="1:5" x14ac:dyDescent="0.35">
      <c r="A72" s="21">
        <v>77010000057</v>
      </c>
      <c r="B72" s="21">
        <v>1</v>
      </c>
      <c r="C72" s="22" t="s">
        <v>12</v>
      </c>
      <c r="D72" s="21">
        <v>2.56</v>
      </c>
      <c r="E72" s="35">
        <v>6</v>
      </c>
    </row>
    <row r="73" spans="1:5" x14ac:dyDescent="0.35">
      <c r="A73" s="21">
        <v>77010000046</v>
      </c>
      <c r="B73" s="21">
        <v>1</v>
      </c>
      <c r="C73" s="22" t="s">
        <v>12</v>
      </c>
      <c r="D73" s="21">
        <v>2.56</v>
      </c>
      <c r="E73" s="35">
        <v>6</v>
      </c>
    </row>
    <row r="74" spans="1:5" x14ac:dyDescent="0.35">
      <c r="A74" s="21">
        <v>77010000053</v>
      </c>
      <c r="B74" s="21">
        <v>1</v>
      </c>
      <c r="C74" s="22" t="s">
        <v>15</v>
      </c>
      <c r="D74" s="21">
        <v>24.5</v>
      </c>
      <c r="E74" s="35">
        <v>6</v>
      </c>
    </row>
    <row r="75" spans="1:5" x14ac:dyDescent="0.35">
      <c r="A75" s="21">
        <v>77010000093</v>
      </c>
      <c r="B75" s="21">
        <v>1</v>
      </c>
      <c r="C75" s="22" t="s">
        <v>12</v>
      </c>
      <c r="D75" s="21">
        <v>2.56</v>
      </c>
      <c r="E75" s="35">
        <v>6</v>
      </c>
    </row>
    <row r="76" spans="1:5" x14ac:dyDescent="0.35">
      <c r="A76" s="21">
        <v>77010000085</v>
      </c>
      <c r="B76" s="21">
        <v>1</v>
      </c>
      <c r="C76" s="22" t="s">
        <v>12</v>
      </c>
      <c r="D76" s="21">
        <v>0.83</v>
      </c>
      <c r="E76" s="35">
        <v>6</v>
      </c>
    </row>
    <row r="77" spans="1:5" x14ac:dyDescent="0.35">
      <c r="A77" s="21">
        <v>77010000033</v>
      </c>
      <c r="B77" s="21">
        <v>1</v>
      </c>
      <c r="C77" s="22" t="s">
        <v>12</v>
      </c>
      <c r="D77" s="21">
        <v>2.56</v>
      </c>
      <c r="E77" s="35">
        <v>6</v>
      </c>
    </row>
    <row r="78" spans="1:5" x14ac:dyDescent="0.35">
      <c r="A78" s="21">
        <v>77010000049</v>
      </c>
      <c r="B78" s="21">
        <v>1</v>
      </c>
      <c r="C78" s="22" t="s">
        <v>12</v>
      </c>
      <c r="D78" s="21">
        <v>2.98</v>
      </c>
      <c r="E78" s="35">
        <v>7</v>
      </c>
    </row>
    <row r="79" spans="1:5" x14ac:dyDescent="0.35">
      <c r="A79" s="21">
        <v>77010000073</v>
      </c>
      <c r="B79" s="21">
        <v>1</v>
      </c>
      <c r="C79" s="22" t="s">
        <v>12</v>
      </c>
      <c r="D79" s="21">
        <v>2.98</v>
      </c>
      <c r="E79" s="35">
        <v>7</v>
      </c>
    </row>
    <row r="80" spans="1:5" x14ac:dyDescent="0.35">
      <c r="A80" s="21">
        <v>77010000014</v>
      </c>
      <c r="B80" s="21">
        <v>1</v>
      </c>
      <c r="C80" s="22" t="s">
        <v>12</v>
      </c>
      <c r="D80" s="21">
        <v>2.98</v>
      </c>
      <c r="E80" s="35">
        <v>7</v>
      </c>
    </row>
    <row r="81" spans="1:5" x14ac:dyDescent="0.35">
      <c r="A81" s="21">
        <v>77010000006</v>
      </c>
      <c r="B81" s="21">
        <v>1</v>
      </c>
      <c r="C81" s="22" t="s">
        <v>12</v>
      </c>
      <c r="D81" s="21">
        <v>0</v>
      </c>
      <c r="E81" s="35">
        <v>7</v>
      </c>
    </row>
    <row r="82" spans="1:5" x14ac:dyDescent="0.35">
      <c r="A82" s="21">
        <v>77010000031</v>
      </c>
      <c r="B82" s="21">
        <v>1</v>
      </c>
      <c r="C82" s="22" t="s">
        <v>12</v>
      </c>
      <c r="D82" s="21">
        <v>2.98</v>
      </c>
      <c r="E82" s="35">
        <v>7</v>
      </c>
    </row>
    <row r="83" spans="1:5" x14ac:dyDescent="0.35">
      <c r="A83" s="21">
        <v>77010000042</v>
      </c>
      <c r="B83" s="21">
        <v>1</v>
      </c>
      <c r="C83" s="22" t="s">
        <v>12</v>
      </c>
      <c r="D83" s="21">
        <v>2.98</v>
      </c>
      <c r="E83" s="35">
        <v>7</v>
      </c>
    </row>
    <row r="84" spans="1:5" x14ac:dyDescent="0.35">
      <c r="A84" s="21">
        <v>77010000079</v>
      </c>
      <c r="B84" s="21">
        <v>1</v>
      </c>
      <c r="C84" s="22" t="s">
        <v>12</v>
      </c>
      <c r="D84" s="21">
        <v>2.98</v>
      </c>
      <c r="E84" s="35">
        <v>7</v>
      </c>
    </row>
    <row r="85" spans="1:5" x14ac:dyDescent="0.35">
      <c r="A85" s="21">
        <v>77010000007</v>
      </c>
      <c r="B85" s="21">
        <v>1</v>
      </c>
      <c r="C85" s="22" t="s">
        <v>12</v>
      </c>
      <c r="D85" s="21">
        <v>3.41</v>
      </c>
      <c r="E85" s="35">
        <v>8</v>
      </c>
    </row>
    <row r="86" spans="1:5" x14ac:dyDescent="0.35">
      <c r="A86" s="21">
        <v>77010000050</v>
      </c>
      <c r="B86" s="21">
        <v>1</v>
      </c>
      <c r="C86" s="22" t="s">
        <v>12</v>
      </c>
      <c r="D86" s="21">
        <v>3.41</v>
      </c>
      <c r="E86" s="35">
        <v>8</v>
      </c>
    </row>
    <row r="87" spans="1:5" x14ac:dyDescent="0.35">
      <c r="A87" s="21">
        <v>77010000054</v>
      </c>
      <c r="B87" s="21">
        <v>1</v>
      </c>
      <c r="C87" s="22" t="s">
        <v>13</v>
      </c>
      <c r="D87" s="21">
        <v>7.43</v>
      </c>
      <c r="E87" s="35">
        <v>8</v>
      </c>
    </row>
    <row r="88" spans="1:5" x14ac:dyDescent="0.35">
      <c r="A88" s="21">
        <v>77010000055</v>
      </c>
      <c r="B88" s="21">
        <v>1</v>
      </c>
      <c r="C88" s="22" t="s">
        <v>12</v>
      </c>
      <c r="D88" s="21">
        <v>3.41</v>
      </c>
      <c r="E88" s="35">
        <v>8</v>
      </c>
    </row>
    <row r="89" spans="1:5" x14ac:dyDescent="0.35">
      <c r="A89" s="21">
        <v>77010000057</v>
      </c>
      <c r="B89" s="21">
        <v>1</v>
      </c>
      <c r="C89" s="22" t="s">
        <v>12</v>
      </c>
      <c r="D89" s="21">
        <v>3.41</v>
      </c>
      <c r="E89" s="35">
        <v>8</v>
      </c>
    </row>
    <row r="90" spans="1:5" x14ac:dyDescent="0.35">
      <c r="A90" s="21">
        <v>77010000060</v>
      </c>
      <c r="B90" s="21">
        <v>1</v>
      </c>
      <c r="C90" s="22" t="s">
        <v>12</v>
      </c>
      <c r="D90" s="21">
        <v>3.41</v>
      </c>
      <c r="E90" s="35">
        <v>8</v>
      </c>
    </row>
    <row r="91" spans="1:5" x14ac:dyDescent="0.35">
      <c r="A91" s="21">
        <v>77010000058</v>
      </c>
      <c r="B91" s="21">
        <v>1</v>
      </c>
      <c r="C91" s="22" t="s">
        <v>12</v>
      </c>
      <c r="D91" s="21">
        <v>3.41</v>
      </c>
      <c r="E91" s="35">
        <v>8</v>
      </c>
    </row>
    <row r="92" spans="1:5" x14ac:dyDescent="0.35">
      <c r="A92" s="21">
        <v>77010000090</v>
      </c>
      <c r="B92" s="21">
        <v>1</v>
      </c>
      <c r="C92" s="22" t="s">
        <v>12</v>
      </c>
      <c r="D92" s="21">
        <v>3.41</v>
      </c>
      <c r="E92" s="35">
        <v>8</v>
      </c>
    </row>
    <row r="93" spans="1:5" x14ac:dyDescent="0.35">
      <c r="A93" s="21">
        <v>77010000076</v>
      </c>
      <c r="B93" s="21">
        <v>1</v>
      </c>
      <c r="C93" s="22" t="s">
        <v>12</v>
      </c>
      <c r="D93" s="21">
        <v>3.41</v>
      </c>
      <c r="E93" s="35">
        <v>8</v>
      </c>
    </row>
    <row r="94" spans="1:5" x14ac:dyDescent="0.35">
      <c r="A94" s="21">
        <v>77010000035</v>
      </c>
      <c r="B94" s="21">
        <v>1</v>
      </c>
      <c r="C94" s="22" t="s">
        <v>12</v>
      </c>
      <c r="D94" s="21">
        <v>3.41</v>
      </c>
      <c r="E94" s="35">
        <v>8</v>
      </c>
    </row>
    <row r="95" spans="1:5" x14ac:dyDescent="0.35">
      <c r="A95" s="21">
        <v>77010000023</v>
      </c>
      <c r="B95" s="21">
        <v>1</v>
      </c>
      <c r="C95" s="22" t="s">
        <v>12</v>
      </c>
      <c r="D95" s="21">
        <v>3.41</v>
      </c>
      <c r="E95" s="35">
        <v>8</v>
      </c>
    </row>
    <row r="96" spans="1:5" x14ac:dyDescent="0.35">
      <c r="A96" s="21">
        <v>77010000039</v>
      </c>
      <c r="B96" s="21">
        <v>1</v>
      </c>
      <c r="C96" s="22" t="s">
        <v>12</v>
      </c>
      <c r="D96" s="21">
        <v>3.41</v>
      </c>
      <c r="E96" s="35">
        <v>8</v>
      </c>
    </row>
    <row r="97" spans="1:5" x14ac:dyDescent="0.35">
      <c r="A97" s="21">
        <v>77010000058</v>
      </c>
      <c r="B97" s="21">
        <v>1</v>
      </c>
      <c r="C97" s="22" t="s">
        <v>14</v>
      </c>
      <c r="D97" s="21">
        <v>7.43</v>
      </c>
      <c r="E97" s="35">
        <v>9</v>
      </c>
    </row>
    <row r="98" spans="1:5" x14ac:dyDescent="0.35">
      <c r="A98" s="21">
        <v>77010000061</v>
      </c>
      <c r="B98" s="21">
        <v>1</v>
      </c>
      <c r="C98" s="22" t="s">
        <v>12</v>
      </c>
      <c r="D98" s="21">
        <v>3.84</v>
      </c>
      <c r="E98" s="35">
        <v>9</v>
      </c>
    </row>
    <row r="99" spans="1:5" x14ac:dyDescent="0.35">
      <c r="A99" s="21">
        <v>77010000069</v>
      </c>
      <c r="B99" s="21">
        <v>1</v>
      </c>
      <c r="C99" s="22" t="s">
        <v>12</v>
      </c>
      <c r="D99" s="21">
        <v>3.84</v>
      </c>
      <c r="E99" s="35">
        <v>9</v>
      </c>
    </row>
    <row r="100" spans="1:5" x14ac:dyDescent="0.35">
      <c r="A100" s="21">
        <v>77010000067</v>
      </c>
      <c r="B100" s="21">
        <v>1</v>
      </c>
      <c r="C100" s="22" t="s">
        <v>15</v>
      </c>
      <c r="D100" s="21">
        <v>24.5</v>
      </c>
      <c r="E100" s="35">
        <v>9</v>
      </c>
    </row>
    <row r="101" spans="1:5" x14ac:dyDescent="0.35">
      <c r="A101" s="21">
        <v>77010000040</v>
      </c>
      <c r="B101" s="21">
        <v>1</v>
      </c>
      <c r="C101" s="22" t="s">
        <v>12</v>
      </c>
      <c r="D101" s="21">
        <v>3.84</v>
      </c>
      <c r="E101" s="35">
        <v>9</v>
      </c>
    </row>
    <row r="102" spans="1:5" x14ac:dyDescent="0.35">
      <c r="A102" s="21">
        <v>77010000047</v>
      </c>
      <c r="B102" s="21">
        <v>1</v>
      </c>
      <c r="C102" s="22" t="s">
        <v>12</v>
      </c>
      <c r="D102" s="21">
        <v>3.84</v>
      </c>
      <c r="E102" s="35">
        <v>9</v>
      </c>
    </row>
    <row r="103" spans="1:5" x14ac:dyDescent="0.35">
      <c r="A103" s="21">
        <v>77010000050</v>
      </c>
      <c r="B103" s="21">
        <v>1</v>
      </c>
      <c r="C103" s="22" t="s">
        <v>12</v>
      </c>
      <c r="D103" s="21">
        <v>3.84</v>
      </c>
      <c r="E103" s="35">
        <v>9</v>
      </c>
    </row>
    <row r="104" spans="1:5" x14ac:dyDescent="0.35">
      <c r="A104" s="21">
        <v>77010000009</v>
      </c>
      <c r="B104" s="21">
        <v>1</v>
      </c>
      <c r="C104" s="22" t="s">
        <v>12</v>
      </c>
      <c r="D104" s="21">
        <v>3.84</v>
      </c>
      <c r="E104" s="35">
        <v>9</v>
      </c>
    </row>
    <row r="105" spans="1:5" x14ac:dyDescent="0.35">
      <c r="A105" s="21">
        <v>77010000017</v>
      </c>
      <c r="B105" s="21">
        <v>1</v>
      </c>
      <c r="C105" s="22" t="s">
        <v>15</v>
      </c>
      <c r="D105" s="21">
        <v>24.5</v>
      </c>
      <c r="E105" s="35">
        <v>9</v>
      </c>
    </row>
    <row r="106" spans="1:5" x14ac:dyDescent="0.35">
      <c r="A106" s="21">
        <v>77010000031</v>
      </c>
      <c r="B106" s="21">
        <v>1</v>
      </c>
      <c r="C106" s="22" t="s">
        <v>12</v>
      </c>
      <c r="D106" s="21">
        <v>3.84</v>
      </c>
      <c r="E106" s="35">
        <v>9</v>
      </c>
    </row>
    <row r="107" spans="1:5" x14ac:dyDescent="0.35">
      <c r="A107" s="21">
        <v>77010000043</v>
      </c>
      <c r="B107" s="21">
        <v>1</v>
      </c>
      <c r="C107" s="22" t="s">
        <v>12</v>
      </c>
      <c r="D107" s="21">
        <v>3.84</v>
      </c>
      <c r="E107" s="35">
        <v>9</v>
      </c>
    </row>
    <row r="108" spans="1:5" x14ac:dyDescent="0.35">
      <c r="A108" s="21">
        <v>77010000002</v>
      </c>
      <c r="B108" s="21">
        <v>1</v>
      </c>
      <c r="C108" s="22" t="s">
        <v>12</v>
      </c>
      <c r="D108" s="21">
        <v>3.84</v>
      </c>
      <c r="E108" s="35">
        <v>9</v>
      </c>
    </row>
    <row r="109" spans="1:5" x14ac:dyDescent="0.35">
      <c r="A109" s="21">
        <v>77010000013</v>
      </c>
      <c r="B109" s="21">
        <v>1</v>
      </c>
      <c r="C109" s="22" t="s">
        <v>12</v>
      </c>
      <c r="D109" s="21">
        <v>3.84</v>
      </c>
      <c r="E109" s="35">
        <v>9</v>
      </c>
    </row>
    <row r="110" spans="1:5" x14ac:dyDescent="0.35">
      <c r="A110" s="21">
        <v>77010000036</v>
      </c>
      <c r="B110" s="21">
        <v>1</v>
      </c>
      <c r="C110" s="22" t="s">
        <v>12</v>
      </c>
      <c r="D110" s="21">
        <v>3.84</v>
      </c>
      <c r="E110" s="35">
        <v>9</v>
      </c>
    </row>
    <row r="111" spans="1:5" x14ac:dyDescent="0.35">
      <c r="A111" s="21">
        <v>77010000076</v>
      </c>
      <c r="B111" s="21">
        <v>1</v>
      </c>
      <c r="C111" s="22" t="s">
        <v>12</v>
      </c>
      <c r="D111" s="21">
        <v>3.84</v>
      </c>
      <c r="E111" s="35">
        <v>9</v>
      </c>
    </row>
    <row r="112" spans="1:5" x14ac:dyDescent="0.35">
      <c r="A112" s="21">
        <v>77010000079</v>
      </c>
      <c r="B112" s="21">
        <v>1</v>
      </c>
      <c r="C112" s="22" t="s">
        <v>12</v>
      </c>
      <c r="D112" s="21">
        <v>3.84</v>
      </c>
      <c r="E112" s="35">
        <v>9</v>
      </c>
    </row>
    <row r="113" spans="1:5" x14ac:dyDescent="0.35">
      <c r="A113" s="21">
        <v>77010000074</v>
      </c>
      <c r="B113" s="21">
        <v>1</v>
      </c>
      <c r="C113" s="22" t="s">
        <v>12</v>
      </c>
      <c r="D113" s="21">
        <v>3.84</v>
      </c>
      <c r="E113" s="35">
        <v>9</v>
      </c>
    </row>
    <row r="114" spans="1:5" x14ac:dyDescent="0.35">
      <c r="A114" s="21">
        <v>77010000076</v>
      </c>
      <c r="B114" s="21">
        <v>1</v>
      </c>
      <c r="C114" s="22" t="s">
        <v>12</v>
      </c>
      <c r="D114" s="21">
        <v>3.84</v>
      </c>
      <c r="E114" s="35">
        <v>9</v>
      </c>
    </row>
    <row r="115" spans="1:5" x14ac:dyDescent="0.35">
      <c r="A115" s="21">
        <v>77010000078</v>
      </c>
      <c r="B115" s="21">
        <v>1</v>
      </c>
      <c r="C115" s="22" t="s">
        <v>12</v>
      </c>
      <c r="D115" s="21">
        <v>3.84</v>
      </c>
      <c r="E115" s="35">
        <v>9</v>
      </c>
    </row>
    <row r="116" spans="1:5" x14ac:dyDescent="0.35">
      <c r="A116" s="21">
        <v>77010000056</v>
      </c>
      <c r="B116" s="21">
        <v>1</v>
      </c>
      <c r="C116" s="22" t="s">
        <v>12</v>
      </c>
      <c r="D116" s="21">
        <v>4.26</v>
      </c>
      <c r="E116" s="35">
        <v>10</v>
      </c>
    </row>
    <row r="117" spans="1:5" x14ac:dyDescent="0.35">
      <c r="A117" s="21">
        <v>77010000049</v>
      </c>
      <c r="B117" s="21">
        <v>1</v>
      </c>
      <c r="C117" s="22" t="s">
        <v>12</v>
      </c>
      <c r="D117" s="21">
        <v>4.26</v>
      </c>
      <c r="E117" s="35">
        <v>10</v>
      </c>
    </row>
    <row r="118" spans="1:5" x14ac:dyDescent="0.35">
      <c r="A118" s="21">
        <v>77010000051</v>
      </c>
      <c r="B118" s="21">
        <v>1</v>
      </c>
      <c r="C118" s="22" t="s">
        <v>15</v>
      </c>
      <c r="D118" s="21">
        <v>24.5</v>
      </c>
      <c r="E118" s="35">
        <v>10</v>
      </c>
    </row>
    <row r="119" spans="1:5" x14ac:dyDescent="0.35">
      <c r="A119" s="21">
        <v>77010000059</v>
      </c>
      <c r="B119" s="21">
        <v>1</v>
      </c>
      <c r="C119" s="22" t="s">
        <v>12</v>
      </c>
      <c r="D119" s="21">
        <v>4.26</v>
      </c>
      <c r="E119" s="35">
        <v>10</v>
      </c>
    </row>
    <row r="120" spans="1:5" x14ac:dyDescent="0.35">
      <c r="A120" s="21">
        <v>77010000068</v>
      </c>
      <c r="B120" s="21">
        <v>1</v>
      </c>
      <c r="C120" s="22" t="s">
        <v>12</v>
      </c>
      <c r="D120" s="21">
        <v>4.26</v>
      </c>
      <c r="E120" s="35">
        <v>10</v>
      </c>
    </row>
    <row r="121" spans="1:5" x14ac:dyDescent="0.35">
      <c r="A121" s="21">
        <v>77010000077</v>
      </c>
      <c r="B121" s="21">
        <v>1</v>
      </c>
      <c r="C121" s="22" t="s">
        <v>12</v>
      </c>
      <c r="D121" s="21">
        <v>4.26</v>
      </c>
      <c r="E121" s="35">
        <v>10</v>
      </c>
    </row>
    <row r="122" spans="1:5" x14ac:dyDescent="0.35">
      <c r="A122" s="21">
        <v>77010000083</v>
      </c>
      <c r="B122" s="21">
        <v>1</v>
      </c>
      <c r="C122" s="22" t="s">
        <v>12</v>
      </c>
      <c r="D122" s="21">
        <v>4.26</v>
      </c>
      <c r="E122" s="35">
        <v>10</v>
      </c>
    </row>
    <row r="123" spans="1:5" x14ac:dyDescent="0.35">
      <c r="A123" s="21">
        <v>77010000090</v>
      </c>
      <c r="B123" s="21">
        <v>1</v>
      </c>
      <c r="C123" s="22" t="s">
        <v>12</v>
      </c>
      <c r="D123" s="21">
        <v>4.26</v>
      </c>
      <c r="E123" s="35">
        <v>10</v>
      </c>
    </row>
    <row r="124" spans="1:5" x14ac:dyDescent="0.35">
      <c r="A124" s="21">
        <v>77010000011</v>
      </c>
      <c r="B124" s="21">
        <v>1</v>
      </c>
      <c r="C124" s="22" t="s">
        <v>12</v>
      </c>
      <c r="D124" s="21">
        <v>4.26</v>
      </c>
      <c r="E124" s="35">
        <v>10</v>
      </c>
    </row>
    <row r="125" spans="1:5" x14ac:dyDescent="0.35">
      <c r="A125" s="21">
        <v>77010000027</v>
      </c>
      <c r="B125" s="21">
        <v>1</v>
      </c>
      <c r="C125" s="22" t="s">
        <v>13</v>
      </c>
      <c r="D125" s="21">
        <v>7.43</v>
      </c>
      <c r="E125" s="35">
        <v>10</v>
      </c>
    </row>
    <row r="126" spans="1:5" x14ac:dyDescent="0.35">
      <c r="A126" s="21">
        <v>77010000039</v>
      </c>
      <c r="B126" s="21">
        <v>1</v>
      </c>
      <c r="C126" s="22" t="s">
        <v>12</v>
      </c>
      <c r="D126" s="21">
        <v>4.26</v>
      </c>
      <c r="E126" s="35">
        <v>10</v>
      </c>
    </row>
    <row r="127" spans="1:5" x14ac:dyDescent="0.35">
      <c r="A127" s="21">
        <v>77010000045</v>
      </c>
      <c r="B127" s="21">
        <v>1</v>
      </c>
      <c r="C127" s="22" t="s">
        <v>12</v>
      </c>
      <c r="D127" s="21">
        <v>4.26</v>
      </c>
      <c r="E127" s="35">
        <v>10</v>
      </c>
    </row>
    <row r="128" spans="1:5" x14ac:dyDescent="0.35">
      <c r="A128" s="21">
        <v>77010000046</v>
      </c>
      <c r="B128" s="21">
        <v>1</v>
      </c>
      <c r="C128" s="22" t="s">
        <v>12</v>
      </c>
      <c r="D128" s="21">
        <v>4.26</v>
      </c>
      <c r="E128" s="35">
        <v>10</v>
      </c>
    </row>
    <row r="129" spans="1:5" x14ac:dyDescent="0.35">
      <c r="A129" s="21">
        <v>77010000011</v>
      </c>
      <c r="B129" s="21">
        <v>1</v>
      </c>
      <c r="C129" s="22" t="s">
        <v>12</v>
      </c>
      <c r="D129" s="21">
        <v>4.26</v>
      </c>
      <c r="E129" s="35">
        <v>10</v>
      </c>
    </row>
    <row r="130" spans="1:5" x14ac:dyDescent="0.35">
      <c r="A130" s="21">
        <v>77010000032</v>
      </c>
      <c r="B130" s="21">
        <v>1</v>
      </c>
      <c r="C130" s="22" t="s">
        <v>12</v>
      </c>
      <c r="D130" s="21">
        <v>4.26</v>
      </c>
      <c r="E130" s="35">
        <v>10</v>
      </c>
    </row>
    <row r="131" spans="1:5" x14ac:dyDescent="0.35">
      <c r="A131" s="21">
        <v>77010000078</v>
      </c>
      <c r="B131" s="21">
        <v>1</v>
      </c>
      <c r="C131" s="22" t="s">
        <v>12</v>
      </c>
      <c r="D131" s="21">
        <v>4.26</v>
      </c>
      <c r="E131" s="35">
        <v>10</v>
      </c>
    </row>
    <row r="132" spans="1:5" x14ac:dyDescent="0.35">
      <c r="A132" s="21">
        <v>77010000057</v>
      </c>
      <c r="B132" s="21">
        <v>1</v>
      </c>
      <c r="C132" s="22" t="s">
        <v>12</v>
      </c>
      <c r="D132" s="21">
        <v>4.6900000000000004</v>
      </c>
      <c r="E132" s="35">
        <v>11</v>
      </c>
    </row>
    <row r="133" spans="1:5" x14ac:dyDescent="0.35">
      <c r="A133" s="21">
        <v>77010000053</v>
      </c>
      <c r="B133" s="21">
        <v>1</v>
      </c>
      <c r="C133" s="22" t="s">
        <v>12</v>
      </c>
      <c r="D133" s="21">
        <v>4.6900000000000004</v>
      </c>
      <c r="E133" s="35">
        <v>11</v>
      </c>
    </row>
    <row r="134" spans="1:5" x14ac:dyDescent="0.35">
      <c r="A134" s="21">
        <v>77010000063</v>
      </c>
      <c r="B134" s="21">
        <v>1</v>
      </c>
      <c r="C134" s="22" t="s">
        <v>12</v>
      </c>
      <c r="D134" s="21">
        <v>4.6900000000000004</v>
      </c>
      <c r="E134" s="35">
        <v>11</v>
      </c>
    </row>
    <row r="135" spans="1:5" x14ac:dyDescent="0.35">
      <c r="A135" s="21">
        <v>77010000055</v>
      </c>
      <c r="B135" s="21">
        <v>1</v>
      </c>
      <c r="C135" s="22" t="s">
        <v>15</v>
      </c>
      <c r="D135" s="21">
        <v>24.5</v>
      </c>
      <c r="E135" s="35">
        <v>11</v>
      </c>
    </row>
    <row r="136" spans="1:5" x14ac:dyDescent="0.35">
      <c r="A136" s="21">
        <v>77010000052</v>
      </c>
      <c r="B136" s="21">
        <v>1</v>
      </c>
      <c r="C136" s="22" t="s">
        <v>12</v>
      </c>
      <c r="D136" s="21">
        <v>4.6900000000000004</v>
      </c>
      <c r="E136" s="35">
        <v>11</v>
      </c>
    </row>
    <row r="137" spans="1:5" x14ac:dyDescent="0.35">
      <c r="A137" s="21">
        <v>77010000056</v>
      </c>
      <c r="B137" s="21">
        <v>1</v>
      </c>
      <c r="C137" s="22" t="s">
        <v>12</v>
      </c>
      <c r="D137" s="21">
        <v>4.6900000000000004</v>
      </c>
      <c r="E137" s="35">
        <v>11</v>
      </c>
    </row>
    <row r="138" spans="1:5" x14ac:dyDescent="0.35">
      <c r="A138" s="21">
        <v>77010000060</v>
      </c>
      <c r="B138" s="21">
        <v>1</v>
      </c>
      <c r="C138" s="22" t="s">
        <v>12</v>
      </c>
      <c r="D138" s="21">
        <v>4.6900000000000004</v>
      </c>
      <c r="E138" s="35">
        <v>11</v>
      </c>
    </row>
    <row r="139" spans="1:5" x14ac:dyDescent="0.35">
      <c r="A139" s="21">
        <v>77010000092</v>
      </c>
      <c r="B139" s="21">
        <v>1</v>
      </c>
      <c r="C139" s="22" t="s">
        <v>15</v>
      </c>
      <c r="D139" s="21">
        <v>24.5</v>
      </c>
      <c r="E139" s="35">
        <v>11</v>
      </c>
    </row>
    <row r="140" spans="1:5" x14ac:dyDescent="0.35">
      <c r="A140" s="21">
        <v>77010000066</v>
      </c>
      <c r="B140" s="21">
        <v>1</v>
      </c>
      <c r="C140" s="22" t="s">
        <v>12</v>
      </c>
      <c r="D140" s="21">
        <v>4.6900000000000004</v>
      </c>
      <c r="E140" s="35">
        <v>11</v>
      </c>
    </row>
    <row r="141" spans="1:5" x14ac:dyDescent="0.35">
      <c r="A141" s="21">
        <v>77010000074</v>
      </c>
      <c r="B141" s="21">
        <v>1</v>
      </c>
      <c r="C141" s="22" t="s">
        <v>12</v>
      </c>
      <c r="D141" s="21">
        <v>4.6900000000000004</v>
      </c>
      <c r="E141" s="35">
        <v>11</v>
      </c>
    </row>
    <row r="142" spans="1:5" x14ac:dyDescent="0.35">
      <c r="A142" s="21">
        <v>77010000006</v>
      </c>
      <c r="B142" s="21">
        <v>1</v>
      </c>
      <c r="C142" s="22" t="s">
        <v>12</v>
      </c>
      <c r="D142" s="21">
        <v>4.6900000000000004</v>
      </c>
      <c r="E142" s="35">
        <v>11</v>
      </c>
    </row>
    <row r="143" spans="1:5" x14ac:dyDescent="0.35">
      <c r="A143" s="21">
        <v>77010000022</v>
      </c>
      <c r="B143" s="21">
        <v>1</v>
      </c>
      <c r="C143" s="22" t="s">
        <v>12</v>
      </c>
      <c r="D143" s="21">
        <v>4.6900000000000004</v>
      </c>
      <c r="E143" s="35">
        <v>11</v>
      </c>
    </row>
    <row r="144" spans="1:5" x14ac:dyDescent="0.35">
      <c r="A144" s="21">
        <v>77010000037</v>
      </c>
      <c r="B144" s="21">
        <v>1</v>
      </c>
      <c r="C144" s="22" t="s">
        <v>12</v>
      </c>
      <c r="D144" s="21">
        <v>4.6900000000000004</v>
      </c>
      <c r="E144" s="35">
        <v>11</v>
      </c>
    </row>
    <row r="145" spans="1:5" x14ac:dyDescent="0.35">
      <c r="A145" s="21">
        <v>77010000018</v>
      </c>
      <c r="B145" s="21">
        <v>1</v>
      </c>
      <c r="C145" s="22" t="s">
        <v>12</v>
      </c>
      <c r="D145" s="21">
        <v>4.6900000000000004</v>
      </c>
      <c r="E145" s="35">
        <v>11</v>
      </c>
    </row>
    <row r="146" spans="1:5" x14ac:dyDescent="0.35">
      <c r="A146" s="21">
        <v>77010000034</v>
      </c>
      <c r="B146" s="21">
        <v>1</v>
      </c>
      <c r="C146" s="22" t="s">
        <v>12</v>
      </c>
      <c r="D146" s="21">
        <v>4.6900000000000004</v>
      </c>
      <c r="E146" s="35">
        <v>11</v>
      </c>
    </row>
    <row r="147" spans="1:5" x14ac:dyDescent="0.35">
      <c r="A147" s="21">
        <v>77010000051</v>
      </c>
      <c r="B147" s="21">
        <v>1</v>
      </c>
      <c r="C147" s="22" t="s">
        <v>12</v>
      </c>
      <c r="D147" s="21">
        <v>4.6900000000000004</v>
      </c>
      <c r="E147" s="35">
        <v>11</v>
      </c>
    </row>
    <row r="148" spans="1:5" x14ac:dyDescent="0.35">
      <c r="A148" s="21">
        <v>77010000082</v>
      </c>
      <c r="B148" s="21">
        <v>1</v>
      </c>
      <c r="C148" s="22" t="s">
        <v>12</v>
      </c>
      <c r="D148" s="21">
        <v>4.6900000000000004</v>
      </c>
      <c r="E148" s="35">
        <v>11</v>
      </c>
    </row>
    <row r="149" spans="1:5" x14ac:dyDescent="0.35">
      <c r="A149" s="21">
        <v>77010000080</v>
      </c>
      <c r="B149" s="21">
        <v>1</v>
      </c>
      <c r="C149" s="22" t="s">
        <v>12</v>
      </c>
      <c r="D149" s="21">
        <v>4.6900000000000004</v>
      </c>
      <c r="E149" s="35">
        <v>11</v>
      </c>
    </row>
    <row r="150" spans="1:5" x14ac:dyDescent="0.35">
      <c r="A150" s="21">
        <v>77010000059</v>
      </c>
      <c r="B150" s="21">
        <v>1</v>
      </c>
      <c r="C150" s="22" t="s">
        <v>12</v>
      </c>
      <c r="D150" s="21">
        <v>5.1100000000000003</v>
      </c>
      <c r="E150" s="35">
        <v>12</v>
      </c>
    </row>
    <row r="151" spans="1:5" x14ac:dyDescent="0.35">
      <c r="A151" s="21">
        <v>77010000052</v>
      </c>
      <c r="B151" s="21">
        <v>1</v>
      </c>
      <c r="C151" s="22" t="s">
        <v>12</v>
      </c>
      <c r="D151" s="21">
        <v>5.1100000000000003</v>
      </c>
      <c r="E151" s="35">
        <v>12</v>
      </c>
    </row>
    <row r="152" spans="1:5" x14ac:dyDescent="0.35">
      <c r="A152" s="21">
        <v>77010000059</v>
      </c>
      <c r="B152" s="21">
        <v>1</v>
      </c>
      <c r="C152" s="22" t="s">
        <v>12</v>
      </c>
      <c r="D152" s="21">
        <v>5.1100000000000003</v>
      </c>
      <c r="E152" s="35">
        <v>12</v>
      </c>
    </row>
    <row r="153" spans="1:5" x14ac:dyDescent="0.35">
      <c r="A153" s="21">
        <v>77010000068</v>
      </c>
      <c r="B153" s="21">
        <v>1</v>
      </c>
      <c r="C153" s="22" t="s">
        <v>12</v>
      </c>
      <c r="D153" s="21">
        <v>5.1100000000000003</v>
      </c>
      <c r="E153" s="35">
        <v>12</v>
      </c>
    </row>
    <row r="154" spans="1:5" x14ac:dyDescent="0.35">
      <c r="A154" s="21">
        <v>77010000039</v>
      </c>
      <c r="B154" s="21">
        <v>1</v>
      </c>
      <c r="C154" s="22" t="s">
        <v>12</v>
      </c>
      <c r="D154" s="21">
        <v>5.1100000000000003</v>
      </c>
      <c r="E154" s="35">
        <v>12</v>
      </c>
    </row>
    <row r="155" spans="1:5" x14ac:dyDescent="0.35">
      <c r="A155" s="21">
        <v>77010000041</v>
      </c>
      <c r="B155" s="21">
        <v>1</v>
      </c>
      <c r="C155" s="22" t="s">
        <v>12</v>
      </c>
      <c r="D155" s="21">
        <v>5.1100000000000003</v>
      </c>
      <c r="E155" s="35">
        <v>12</v>
      </c>
    </row>
    <row r="156" spans="1:5" x14ac:dyDescent="0.35">
      <c r="A156" s="21">
        <v>77010000044</v>
      </c>
      <c r="B156" s="21">
        <v>1</v>
      </c>
      <c r="C156" s="22" t="s">
        <v>12</v>
      </c>
      <c r="D156" s="21">
        <v>5.1100000000000003</v>
      </c>
      <c r="E156" s="35">
        <v>12</v>
      </c>
    </row>
    <row r="157" spans="1:5" x14ac:dyDescent="0.35">
      <c r="A157" s="21">
        <v>77010000091</v>
      </c>
      <c r="B157" s="21">
        <v>1</v>
      </c>
      <c r="C157" s="22" t="s">
        <v>12</v>
      </c>
      <c r="D157" s="21">
        <v>5.1100000000000003</v>
      </c>
      <c r="E157" s="35">
        <v>12</v>
      </c>
    </row>
    <row r="158" spans="1:5" x14ac:dyDescent="0.35">
      <c r="A158" s="21">
        <v>77010000021</v>
      </c>
      <c r="B158" s="21">
        <v>1</v>
      </c>
      <c r="C158" s="22" t="s">
        <v>13</v>
      </c>
      <c r="D158" s="21">
        <v>14.87</v>
      </c>
      <c r="E158" s="35">
        <v>12</v>
      </c>
    </row>
    <row r="159" spans="1:5" x14ac:dyDescent="0.35">
      <c r="A159" s="21">
        <v>77010000026</v>
      </c>
      <c r="B159" s="21">
        <v>1</v>
      </c>
      <c r="C159" s="22" t="s">
        <v>12</v>
      </c>
      <c r="D159" s="21">
        <v>5.1100000000000003</v>
      </c>
      <c r="E159" s="35">
        <v>12</v>
      </c>
    </row>
    <row r="160" spans="1:5" x14ac:dyDescent="0.35">
      <c r="A160" s="21">
        <v>77010000029</v>
      </c>
      <c r="B160" s="21">
        <v>1</v>
      </c>
      <c r="C160" s="22" t="s">
        <v>13</v>
      </c>
      <c r="D160" s="21">
        <v>14.87</v>
      </c>
      <c r="E160" s="35">
        <v>12</v>
      </c>
    </row>
    <row r="161" spans="1:5" x14ac:dyDescent="0.35">
      <c r="A161" s="21">
        <v>77010000038</v>
      </c>
      <c r="B161" s="21">
        <v>1</v>
      </c>
      <c r="C161" s="22" t="s">
        <v>12</v>
      </c>
      <c r="D161" s="21">
        <v>5.1100000000000003</v>
      </c>
      <c r="E161" s="35">
        <v>12</v>
      </c>
    </row>
    <row r="162" spans="1:5" x14ac:dyDescent="0.35">
      <c r="A162" s="21">
        <v>77010000053</v>
      </c>
      <c r="B162" s="21">
        <v>1</v>
      </c>
      <c r="C162" s="22" t="s">
        <v>12</v>
      </c>
      <c r="D162" s="21">
        <v>5.1100000000000003</v>
      </c>
      <c r="E162" s="35">
        <v>12</v>
      </c>
    </row>
    <row r="163" spans="1:5" x14ac:dyDescent="0.35">
      <c r="A163" s="21">
        <v>77010000057</v>
      </c>
      <c r="B163" s="21">
        <v>1</v>
      </c>
      <c r="C163" s="22" t="s">
        <v>12</v>
      </c>
      <c r="D163" s="21">
        <v>5.1100000000000003</v>
      </c>
      <c r="E163" s="35">
        <v>12</v>
      </c>
    </row>
    <row r="164" spans="1:5" x14ac:dyDescent="0.35">
      <c r="A164" s="21">
        <v>77010000060</v>
      </c>
      <c r="B164" s="21">
        <v>1</v>
      </c>
      <c r="C164" s="22" t="s">
        <v>12</v>
      </c>
      <c r="D164" s="21">
        <v>5.1100000000000003</v>
      </c>
      <c r="E164" s="35">
        <v>12</v>
      </c>
    </row>
    <row r="165" spans="1:5" x14ac:dyDescent="0.35">
      <c r="A165" s="21">
        <v>77010000080</v>
      </c>
      <c r="B165" s="21">
        <v>1</v>
      </c>
      <c r="C165" s="22" t="s">
        <v>12</v>
      </c>
      <c r="D165" s="21">
        <v>5.1100000000000003</v>
      </c>
      <c r="E165" s="35">
        <v>12</v>
      </c>
    </row>
    <row r="166" spans="1:5" x14ac:dyDescent="0.35">
      <c r="A166" s="21">
        <v>77010000020</v>
      </c>
      <c r="B166" s="21">
        <v>1</v>
      </c>
      <c r="C166" s="22" t="s">
        <v>12</v>
      </c>
      <c r="D166" s="21">
        <v>5.54</v>
      </c>
      <c r="E166" s="35">
        <v>13</v>
      </c>
    </row>
    <row r="167" spans="1:5" x14ac:dyDescent="0.35">
      <c r="A167" s="21">
        <v>77010000025</v>
      </c>
      <c r="B167" s="21">
        <v>1</v>
      </c>
      <c r="C167" s="22" t="s">
        <v>12</v>
      </c>
      <c r="D167" s="21">
        <v>5.54</v>
      </c>
      <c r="E167" s="35">
        <v>13</v>
      </c>
    </row>
    <row r="168" spans="1:5" x14ac:dyDescent="0.35">
      <c r="A168" s="21">
        <v>77010000034</v>
      </c>
      <c r="B168" s="21">
        <v>1</v>
      </c>
      <c r="C168" s="22" t="s">
        <v>12</v>
      </c>
      <c r="D168" s="21">
        <v>5.54</v>
      </c>
      <c r="E168" s="35">
        <v>13</v>
      </c>
    </row>
    <row r="169" spans="1:5" x14ac:dyDescent="0.35">
      <c r="A169" s="21">
        <v>77010000040</v>
      </c>
      <c r="B169" s="21">
        <v>1</v>
      </c>
      <c r="C169" s="22" t="s">
        <v>12</v>
      </c>
      <c r="D169" s="21">
        <v>5.54</v>
      </c>
      <c r="E169" s="35">
        <v>13</v>
      </c>
    </row>
    <row r="170" spans="1:5" x14ac:dyDescent="0.35">
      <c r="A170" s="21">
        <v>77010000044</v>
      </c>
      <c r="B170" s="21">
        <v>1</v>
      </c>
      <c r="C170" s="22" t="s">
        <v>12</v>
      </c>
      <c r="D170" s="21">
        <v>5.54</v>
      </c>
      <c r="E170" s="35">
        <v>13</v>
      </c>
    </row>
    <row r="171" spans="1:5" x14ac:dyDescent="0.35">
      <c r="A171" s="21">
        <v>77010000075</v>
      </c>
      <c r="B171" s="21">
        <v>1</v>
      </c>
      <c r="C171" s="22" t="s">
        <v>12</v>
      </c>
      <c r="D171" s="21">
        <v>5.54</v>
      </c>
      <c r="E171" s="35">
        <v>13</v>
      </c>
    </row>
    <row r="172" spans="1:5" x14ac:dyDescent="0.35">
      <c r="A172" s="21">
        <v>77010000050</v>
      </c>
      <c r="B172" s="21">
        <v>1</v>
      </c>
      <c r="C172" s="22" t="s">
        <v>12</v>
      </c>
      <c r="D172" s="21">
        <v>5.97</v>
      </c>
      <c r="E172" s="35">
        <v>14</v>
      </c>
    </row>
    <row r="173" spans="1:5" x14ac:dyDescent="0.35">
      <c r="A173" s="21">
        <v>77010000060</v>
      </c>
      <c r="B173" s="21">
        <v>1</v>
      </c>
      <c r="C173" s="22" t="s">
        <v>12</v>
      </c>
      <c r="D173" s="21">
        <v>5.97</v>
      </c>
      <c r="E173" s="35">
        <v>14</v>
      </c>
    </row>
    <row r="174" spans="1:5" x14ac:dyDescent="0.35">
      <c r="A174" s="21">
        <v>77010000038</v>
      </c>
      <c r="B174" s="21">
        <v>1</v>
      </c>
      <c r="C174" s="22" t="s">
        <v>14</v>
      </c>
      <c r="D174" s="21">
        <v>14.87</v>
      </c>
      <c r="E174" s="35">
        <v>14</v>
      </c>
    </row>
    <row r="175" spans="1:5" x14ac:dyDescent="0.35">
      <c r="A175" s="21">
        <v>77010000043</v>
      </c>
      <c r="B175" s="21">
        <v>1</v>
      </c>
      <c r="C175" s="22" t="s">
        <v>12</v>
      </c>
      <c r="D175" s="21">
        <v>5.97</v>
      </c>
      <c r="E175" s="35">
        <v>14</v>
      </c>
    </row>
    <row r="176" spans="1:5" x14ac:dyDescent="0.35">
      <c r="A176" s="21">
        <v>77010000081</v>
      </c>
      <c r="B176" s="21">
        <v>1</v>
      </c>
      <c r="C176" s="22" t="s">
        <v>12</v>
      </c>
      <c r="D176" s="21">
        <v>5.97</v>
      </c>
      <c r="E176" s="35">
        <v>14</v>
      </c>
    </row>
    <row r="177" spans="1:5" x14ac:dyDescent="0.35">
      <c r="A177" s="21">
        <v>77010000016</v>
      </c>
      <c r="B177" s="21">
        <v>1</v>
      </c>
      <c r="C177" s="22" t="s">
        <v>12</v>
      </c>
      <c r="D177" s="21">
        <v>5.97</v>
      </c>
      <c r="E177" s="35">
        <v>14</v>
      </c>
    </row>
    <row r="178" spans="1:5" x14ac:dyDescent="0.35">
      <c r="A178" s="21">
        <v>77010000023</v>
      </c>
      <c r="B178" s="21">
        <v>1</v>
      </c>
      <c r="C178" s="22" t="s">
        <v>12</v>
      </c>
      <c r="D178" s="21">
        <v>5.97</v>
      </c>
      <c r="E178" s="35">
        <v>14</v>
      </c>
    </row>
    <row r="179" spans="1:5" x14ac:dyDescent="0.35">
      <c r="A179" s="21">
        <v>77010000012</v>
      </c>
      <c r="B179" s="21">
        <v>1</v>
      </c>
      <c r="C179" s="22" t="s">
        <v>12</v>
      </c>
      <c r="D179" s="21">
        <v>5.97</v>
      </c>
      <c r="E179" s="35">
        <v>14</v>
      </c>
    </row>
    <row r="180" spans="1:5" x14ac:dyDescent="0.35">
      <c r="A180" s="21">
        <v>77010000024</v>
      </c>
      <c r="B180" s="21">
        <v>1</v>
      </c>
      <c r="C180" s="22" t="s">
        <v>12</v>
      </c>
      <c r="D180" s="21">
        <v>5.97</v>
      </c>
      <c r="E180" s="35">
        <v>14</v>
      </c>
    </row>
    <row r="181" spans="1:5" x14ac:dyDescent="0.35">
      <c r="A181" s="21">
        <v>77010000047</v>
      </c>
      <c r="B181" s="21">
        <v>1</v>
      </c>
      <c r="C181" s="22" t="s">
        <v>12</v>
      </c>
      <c r="D181" s="21">
        <v>6.39</v>
      </c>
      <c r="E181" s="35">
        <v>15</v>
      </c>
    </row>
    <row r="182" spans="1:5" x14ac:dyDescent="0.35">
      <c r="A182" s="21">
        <v>77010000055</v>
      </c>
      <c r="B182" s="21">
        <v>1</v>
      </c>
      <c r="C182" s="22" t="s">
        <v>12</v>
      </c>
      <c r="D182" s="21">
        <v>6.39</v>
      </c>
      <c r="E182" s="35">
        <v>15</v>
      </c>
    </row>
    <row r="183" spans="1:5" x14ac:dyDescent="0.35">
      <c r="A183" s="21">
        <v>77010000056</v>
      </c>
      <c r="B183" s="21">
        <v>1</v>
      </c>
      <c r="C183" s="22" t="s">
        <v>12</v>
      </c>
      <c r="D183" s="21">
        <v>6.39</v>
      </c>
      <c r="E183" s="35">
        <v>15</v>
      </c>
    </row>
    <row r="184" spans="1:5" x14ac:dyDescent="0.35">
      <c r="A184" s="21">
        <v>77010000042</v>
      </c>
      <c r="B184" s="21">
        <v>1</v>
      </c>
      <c r="C184" s="22" t="s">
        <v>12</v>
      </c>
      <c r="D184" s="21">
        <v>6.39</v>
      </c>
      <c r="E184" s="35">
        <v>15</v>
      </c>
    </row>
    <row r="185" spans="1:5" x14ac:dyDescent="0.35">
      <c r="A185" s="21">
        <v>77010000055</v>
      </c>
      <c r="B185" s="21">
        <v>1</v>
      </c>
      <c r="C185" s="22" t="s">
        <v>12</v>
      </c>
      <c r="D185" s="21">
        <v>6.39</v>
      </c>
      <c r="E185" s="35">
        <v>15</v>
      </c>
    </row>
    <row r="186" spans="1:5" x14ac:dyDescent="0.35">
      <c r="A186" s="21">
        <v>77010000059</v>
      </c>
      <c r="B186" s="21">
        <v>1</v>
      </c>
      <c r="C186" s="22" t="s">
        <v>12</v>
      </c>
      <c r="D186" s="21">
        <v>6.39</v>
      </c>
      <c r="E186" s="35">
        <v>15</v>
      </c>
    </row>
    <row r="187" spans="1:5" x14ac:dyDescent="0.35">
      <c r="A187" s="21">
        <v>77010000080</v>
      </c>
      <c r="B187" s="21">
        <v>1</v>
      </c>
      <c r="C187" s="22" t="s">
        <v>12</v>
      </c>
      <c r="D187" s="21">
        <v>6.39</v>
      </c>
      <c r="E187" s="35">
        <v>15</v>
      </c>
    </row>
    <row r="188" spans="1:5" x14ac:dyDescent="0.35">
      <c r="A188" s="21">
        <v>77010000087</v>
      </c>
      <c r="B188" s="21">
        <v>1</v>
      </c>
      <c r="C188" s="22" t="s">
        <v>12</v>
      </c>
      <c r="D188" s="21">
        <v>6.39</v>
      </c>
      <c r="E188" s="35">
        <v>15</v>
      </c>
    </row>
    <row r="189" spans="1:5" x14ac:dyDescent="0.35">
      <c r="A189" s="21">
        <v>77010000096</v>
      </c>
      <c r="B189" s="21">
        <v>1</v>
      </c>
      <c r="C189" s="22" t="s">
        <v>12</v>
      </c>
      <c r="D189" s="21">
        <v>6.39</v>
      </c>
      <c r="E189" s="35">
        <v>15</v>
      </c>
    </row>
    <row r="190" spans="1:5" x14ac:dyDescent="0.35">
      <c r="A190" s="21">
        <v>77010000029</v>
      </c>
      <c r="B190" s="21">
        <v>1</v>
      </c>
      <c r="C190" s="22" t="s">
        <v>12</v>
      </c>
      <c r="D190" s="21">
        <v>6.39</v>
      </c>
      <c r="E190" s="35">
        <v>15</v>
      </c>
    </row>
    <row r="191" spans="1:5" x14ac:dyDescent="0.35">
      <c r="A191" s="21">
        <v>77010000021</v>
      </c>
      <c r="B191" s="21">
        <v>1</v>
      </c>
      <c r="C191" s="22" t="s">
        <v>12</v>
      </c>
      <c r="D191" s="21">
        <v>6.39</v>
      </c>
      <c r="E191" s="35">
        <v>15</v>
      </c>
    </row>
    <row r="192" spans="1:5" x14ac:dyDescent="0.35">
      <c r="A192" s="21">
        <v>77010000043</v>
      </c>
      <c r="B192" s="21">
        <v>1</v>
      </c>
      <c r="C192" s="22" t="s">
        <v>12</v>
      </c>
      <c r="D192" s="21">
        <v>6.39</v>
      </c>
      <c r="E192" s="35">
        <v>15</v>
      </c>
    </row>
    <row r="193" spans="1:5" x14ac:dyDescent="0.35">
      <c r="A193" s="21">
        <v>77010000072</v>
      </c>
      <c r="B193" s="21">
        <v>1</v>
      </c>
      <c r="C193" s="22" t="s">
        <v>12</v>
      </c>
      <c r="D193" s="21">
        <v>6.39</v>
      </c>
      <c r="E193" s="35">
        <v>15</v>
      </c>
    </row>
    <row r="194" spans="1:5" x14ac:dyDescent="0.35">
      <c r="A194" s="21">
        <v>77010000077</v>
      </c>
      <c r="B194" s="21">
        <v>1</v>
      </c>
      <c r="C194" s="22" t="s">
        <v>12</v>
      </c>
      <c r="D194" s="21">
        <v>6.39</v>
      </c>
      <c r="E194" s="35">
        <v>15</v>
      </c>
    </row>
    <row r="195" spans="1:5" x14ac:dyDescent="0.35">
      <c r="A195" s="21">
        <v>77010000049</v>
      </c>
      <c r="B195" s="21">
        <v>1</v>
      </c>
      <c r="C195" s="22" t="s">
        <v>12</v>
      </c>
      <c r="D195" s="21">
        <v>6.82</v>
      </c>
      <c r="E195" s="35">
        <v>16</v>
      </c>
    </row>
    <row r="196" spans="1:5" x14ac:dyDescent="0.35">
      <c r="A196" s="21">
        <v>77010000051</v>
      </c>
      <c r="B196" s="21">
        <v>1</v>
      </c>
      <c r="C196" s="22" t="s">
        <v>12</v>
      </c>
      <c r="D196" s="21">
        <v>6.82</v>
      </c>
      <c r="E196" s="35">
        <v>16</v>
      </c>
    </row>
    <row r="197" spans="1:5" x14ac:dyDescent="0.35">
      <c r="A197" s="21">
        <v>77010000071</v>
      </c>
      <c r="B197" s="21">
        <v>1</v>
      </c>
      <c r="C197" s="22" t="s">
        <v>12</v>
      </c>
      <c r="D197" s="21">
        <v>6.82</v>
      </c>
      <c r="E197" s="35">
        <v>16</v>
      </c>
    </row>
    <row r="198" spans="1:5" x14ac:dyDescent="0.35">
      <c r="A198" s="21">
        <v>77010000072</v>
      </c>
      <c r="B198" s="21">
        <v>1</v>
      </c>
      <c r="C198" s="22" t="s">
        <v>12</v>
      </c>
      <c r="D198" s="21">
        <v>6.82</v>
      </c>
      <c r="E198" s="35">
        <v>16</v>
      </c>
    </row>
    <row r="199" spans="1:5" x14ac:dyDescent="0.35">
      <c r="A199" s="21">
        <v>77010000028</v>
      </c>
      <c r="B199" s="21">
        <v>1</v>
      </c>
      <c r="C199" s="22" t="s">
        <v>12</v>
      </c>
      <c r="D199" s="21">
        <v>6.82</v>
      </c>
      <c r="E199" s="35">
        <v>16</v>
      </c>
    </row>
    <row r="200" spans="1:5" x14ac:dyDescent="0.35">
      <c r="A200" s="21">
        <v>77010000030</v>
      </c>
      <c r="B200" s="21">
        <v>1</v>
      </c>
      <c r="C200" s="22" t="s">
        <v>13</v>
      </c>
      <c r="D200" s="21">
        <v>14.87</v>
      </c>
      <c r="E200" s="35">
        <v>16</v>
      </c>
    </row>
    <row r="201" spans="1:5" x14ac:dyDescent="0.35">
      <c r="A201" s="21">
        <v>77010000032</v>
      </c>
      <c r="B201" s="21">
        <v>1</v>
      </c>
      <c r="C201" s="22" t="s">
        <v>12</v>
      </c>
      <c r="D201" s="21">
        <v>6.82</v>
      </c>
      <c r="E201" s="35">
        <v>16</v>
      </c>
    </row>
    <row r="202" spans="1:5" x14ac:dyDescent="0.35">
      <c r="A202" s="21">
        <v>77010000004</v>
      </c>
      <c r="B202" s="21">
        <v>1</v>
      </c>
      <c r="C202" s="22" t="s">
        <v>12</v>
      </c>
      <c r="D202" s="21">
        <v>6.82</v>
      </c>
      <c r="E202" s="35">
        <v>16</v>
      </c>
    </row>
    <row r="203" spans="1:5" x14ac:dyDescent="0.35">
      <c r="A203" s="21">
        <v>77010000027</v>
      </c>
      <c r="B203" s="21">
        <v>1</v>
      </c>
      <c r="C203" s="22" t="s">
        <v>12</v>
      </c>
      <c r="D203" s="21">
        <v>6.82</v>
      </c>
      <c r="E203" s="35">
        <v>16</v>
      </c>
    </row>
    <row r="204" spans="1:5" x14ac:dyDescent="0.35">
      <c r="A204" s="21">
        <v>77010000084</v>
      </c>
      <c r="B204" s="21">
        <v>1</v>
      </c>
      <c r="C204" s="22" t="s">
        <v>12</v>
      </c>
      <c r="D204" s="21">
        <v>6.82</v>
      </c>
      <c r="E204" s="35">
        <v>16</v>
      </c>
    </row>
    <row r="205" spans="1:5" x14ac:dyDescent="0.35">
      <c r="A205" s="21">
        <v>77010000053</v>
      </c>
      <c r="B205" s="21">
        <v>1</v>
      </c>
      <c r="C205" s="22" t="s">
        <v>12</v>
      </c>
      <c r="D205" s="21">
        <v>7.25</v>
      </c>
      <c r="E205" s="35">
        <v>17</v>
      </c>
    </row>
    <row r="206" spans="1:5" x14ac:dyDescent="0.35">
      <c r="A206" s="21">
        <v>77010000001</v>
      </c>
      <c r="B206" s="21">
        <v>1</v>
      </c>
      <c r="C206" s="22" t="s">
        <v>13</v>
      </c>
      <c r="D206" s="21">
        <v>14.87</v>
      </c>
      <c r="E206" s="35">
        <v>17</v>
      </c>
    </row>
    <row r="207" spans="1:5" x14ac:dyDescent="0.35">
      <c r="A207" s="21">
        <v>77010000008</v>
      </c>
      <c r="B207" s="21">
        <v>1</v>
      </c>
      <c r="C207" s="22" t="s">
        <v>14</v>
      </c>
      <c r="D207" s="21">
        <v>14.87</v>
      </c>
      <c r="E207" s="35">
        <v>17</v>
      </c>
    </row>
    <row r="208" spans="1:5" x14ac:dyDescent="0.35">
      <c r="A208" s="21">
        <v>77010000019</v>
      </c>
      <c r="B208" s="21">
        <v>1</v>
      </c>
      <c r="C208" s="22" t="s">
        <v>12</v>
      </c>
      <c r="D208" s="21">
        <v>7.25</v>
      </c>
      <c r="E208" s="35">
        <v>17</v>
      </c>
    </row>
    <row r="209" spans="1:5" x14ac:dyDescent="0.35">
      <c r="A209" s="21">
        <v>77010000038</v>
      </c>
      <c r="B209" s="21">
        <v>1</v>
      </c>
      <c r="C209" s="22" t="s">
        <v>12</v>
      </c>
      <c r="D209" s="21">
        <v>7.25</v>
      </c>
      <c r="E209" s="35">
        <v>17</v>
      </c>
    </row>
    <row r="210" spans="1:5" x14ac:dyDescent="0.35">
      <c r="A210" s="21">
        <v>77010000028</v>
      </c>
      <c r="B210" s="21">
        <v>1</v>
      </c>
      <c r="C210" s="22" t="s">
        <v>12</v>
      </c>
      <c r="D210" s="21">
        <v>7.25</v>
      </c>
      <c r="E210" s="35">
        <v>17</v>
      </c>
    </row>
    <row r="211" spans="1:5" x14ac:dyDescent="0.35">
      <c r="A211" s="21">
        <v>77010000037</v>
      </c>
      <c r="B211" s="21">
        <v>1</v>
      </c>
      <c r="C211" s="22" t="s">
        <v>12</v>
      </c>
      <c r="D211" s="21">
        <v>7.25</v>
      </c>
      <c r="E211" s="35">
        <v>17</v>
      </c>
    </row>
    <row r="212" spans="1:5" x14ac:dyDescent="0.35">
      <c r="A212" s="21">
        <v>77010000079</v>
      </c>
      <c r="B212" s="21">
        <v>1</v>
      </c>
      <c r="C212" s="22" t="s">
        <v>14</v>
      </c>
      <c r="D212" s="21">
        <v>14.87</v>
      </c>
      <c r="E212" s="35">
        <v>18</v>
      </c>
    </row>
    <row r="213" spans="1:5" x14ac:dyDescent="0.35">
      <c r="A213" s="21">
        <v>77010000024</v>
      </c>
      <c r="B213" s="21">
        <v>1</v>
      </c>
      <c r="C213" s="22" t="s">
        <v>12</v>
      </c>
      <c r="D213" s="21">
        <v>7.67</v>
      </c>
      <c r="E213" s="35">
        <v>18</v>
      </c>
    </row>
    <row r="214" spans="1:5" x14ac:dyDescent="0.35">
      <c r="A214" s="21">
        <v>77010000041</v>
      </c>
      <c r="B214" s="21">
        <v>1</v>
      </c>
      <c r="C214" s="22" t="s">
        <v>12</v>
      </c>
      <c r="D214" s="21">
        <v>7.67</v>
      </c>
      <c r="E214" s="35">
        <v>18</v>
      </c>
    </row>
    <row r="215" spans="1:5" x14ac:dyDescent="0.35">
      <c r="A215" s="21">
        <v>77010000022</v>
      </c>
      <c r="B215" s="21">
        <v>1</v>
      </c>
      <c r="C215" s="22" t="s">
        <v>12</v>
      </c>
      <c r="D215" s="21">
        <v>7.67</v>
      </c>
      <c r="E215" s="35">
        <v>18</v>
      </c>
    </row>
    <row r="216" spans="1:5" x14ac:dyDescent="0.35">
      <c r="A216" s="21">
        <v>77010000033</v>
      </c>
      <c r="B216" s="21">
        <v>1</v>
      </c>
      <c r="C216" s="22" t="s">
        <v>13</v>
      </c>
      <c r="D216" s="21">
        <v>14.87</v>
      </c>
      <c r="E216" s="35">
        <v>18</v>
      </c>
    </row>
    <row r="217" spans="1:5" x14ac:dyDescent="0.35">
      <c r="A217" s="21">
        <v>77010000058</v>
      </c>
      <c r="B217" s="21">
        <v>1</v>
      </c>
      <c r="C217" s="22" t="s">
        <v>12</v>
      </c>
      <c r="D217" s="21">
        <v>7.67</v>
      </c>
      <c r="E217" s="35">
        <v>18</v>
      </c>
    </row>
    <row r="218" spans="1:5" x14ac:dyDescent="0.35">
      <c r="A218" s="21">
        <v>77010000062</v>
      </c>
      <c r="B218" s="21">
        <v>1</v>
      </c>
      <c r="C218" s="22" t="s">
        <v>12</v>
      </c>
      <c r="D218" s="21">
        <v>8.1</v>
      </c>
      <c r="E218" s="35">
        <v>19</v>
      </c>
    </row>
    <row r="219" spans="1:5" x14ac:dyDescent="0.35">
      <c r="A219" s="21">
        <v>77010000069</v>
      </c>
      <c r="B219" s="21">
        <v>1</v>
      </c>
      <c r="C219" s="22" t="s">
        <v>16</v>
      </c>
      <c r="D219" s="21">
        <v>14.01</v>
      </c>
      <c r="E219" s="35">
        <v>19</v>
      </c>
    </row>
    <row r="220" spans="1:5" x14ac:dyDescent="0.35">
      <c r="A220" s="21">
        <v>77010000070</v>
      </c>
      <c r="B220" s="21">
        <v>1</v>
      </c>
      <c r="C220" s="22" t="s">
        <v>16</v>
      </c>
      <c r="D220" s="21">
        <v>0</v>
      </c>
      <c r="E220" s="35">
        <v>19</v>
      </c>
    </row>
    <row r="221" spans="1:5" x14ac:dyDescent="0.35">
      <c r="A221" s="21">
        <v>77010000054</v>
      </c>
      <c r="B221" s="21">
        <v>1</v>
      </c>
      <c r="C221" s="22" t="s">
        <v>12</v>
      </c>
      <c r="D221" s="21">
        <v>8.1</v>
      </c>
      <c r="E221" s="35">
        <v>19</v>
      </c>
    </row>
    <row r="222" spans="1:5" x14ac:dyDescent="0.35">
      <c r="A222" s="21">
        <v>77010000010</v>
      </c>
      <c r="B222" s="21">
        <v>1</v>
      </c>
      <c r="C222" s="22" t="s">
        <v>12</v>
      </c>
      <c r="D222" s="21">
        <v>8.52</v>
      </c>
      <c r="E222" s="35">
        <v>20</v>
      </c>
    </row>
    <row r="223" spans="1:5" x14ac:dyDescent="0.35">
      <c r="A223" s="21">
        <v>77010000012</v>
      </c>
      <c r="B223" s="21">
        <v>1</v>
      </c>
      <c r="C223" s="22" t="s">
        <v>16</v>
      </c>
      <c r="D223" s="21">
        <v>0</v>
      </c>
      <c r="E223" s="35">
        <v>20</v>
      </c>
    </row>
    <row r="224" spans="1:5" x14ac:dyDescent="0.35">
      <c r="A224" s="21">
        <v>77010000026</v>
      </c>
      <c r="B224" s="21">
        <v>1</v>
      </c>
      <c r="C224" s="22" t="s">
        <v>12</v>
      </c>
      <c r="D224" s="21">
        <v>8.52</v>
      </c>
      <c r="E224" s="35">
        <v>20</v>
      </c>
    </row>
    <row r="225" spans="1:5" x14ac:dyDescent="0.35">
      <c r="A225" s="21">
        <v>77010000035</v>
      </c>
      <c r="B225" s="21">
        <v>1</v>
      </c>
      <c r="C225" s="22" t="s">
        <v>12</v>
      </c>
      <c r="D225" s="21">
        <v>8.52</v>
      </c>
      <c r="E225" s="35">
        <v>20</v>
      </c>
    </row>
    <row r="226" spans="1:5" x14ac:dyDescent="0.35">
      <c r="A226" s="21">
        <v>77010000077</v>
      </c>
      <c r="B226" s="21">
        <v>1</v>
      </c>
      <c r="C226" s="22" t="s">
        <v>12</v>
      </c>
      <c r="D226" s="21">
        <v>8.52</v>
      </c>
      <c r="E226" s="35">
        <v>20</v>
      </c>
    </row>
    <row r="227" spans="1:5" x14ac:dyDescent="0.35">
      <c r="A227" s="21">
        <v>77010000094</v>
      </c>
      <c r="B227" s="21">
        <v>1</v>
      </c>
      <c r="C227" s="22" t="s">
        <v>12</v>
      </c>
      <c r="D227" s="21">
        <v>8.9499999999999993</v>
      </c>
      <c r="E227" s="35">
        <v>21</v>
      </c>
    </row>
    <row r="228" spans="1:5" x14ac:dyDescent="0.35">
      <c r="A228" s="21">
        <v>77010000013</v>
      </c>
      <c r="B228" s="21">
        <v>1</v>
      </c>
      <c r="C228" s="22" t="s">
        <v>12</v>
      </c>
      <c r="D228" s="21">
        <v>8.9499999999999993</v>
      </c>
      <c r="E228" s="35">
        <v>21</v>
      </c>
    </row>
    <row r="229" spans="1:5" x14ac:dyDescent="0.35">
      <c r="A229" s="21">
        <v>77010000005</v>
      </c>
      <c r="B229" s="21">
        <v>1</v>
      </c>
      <c r="C229" s="22" t="s">
        <v>14</v>
      </c>
      <c r="D229" s="21">
        <v>22.3</v>
      </c>
      <c r="E229" s="35">
        <v>21</v>
      </c>
    </row>
    <row r="230" spans="1:5" x14ac:dyDescent="0.35">
      <c r="A230" s="21">
        <v>77010000059</v>
      </c>
      <c r="B230" s="21">
        <v>1</v>
      </c>
      <c r="C230" s="22" t="s">
        <v>12</v>
      </c>
      <c r="D230" s="21">
        <v>8.9499999999999993</v>
      </c>
      <c r="E230" s="35">
        <v>21</v>
      </c>
    </row>
    <row r="231" spans="1:5" x14ac:dyDescent="0.35">
      <c r="A231" s="21">
        <v>77010000082</v>
      </c>
      <c r="B231" s="21">
        <v>1</v>
      </c>
      <c r="C231" s="22" t="s">
        <v>12</v>
      </c>
      <c r="D231" s="21">
        <v>8.9499999999999993</v>
      </c>
      <c r="E231" s="35">
        <v>21</v>
      </c>
    </row>
    <row r="232" spans="1:5" x14ac:dyDescent="0.35">
      <c r="A232" s="21">
        <v>77010000091</v>
      </c>
      <c r="B232" s="21">
        <v>1</v>
      </c>
      <c r="C232" s="22" t="s">
        <v>12</v>
      </c>
      <c r="D232" s="21">
        <v>9.3800000000000008</v>
      </c>
      <c r="E232" s="35">
        <v>22</v>
      </c>
    </row>
    <row r="233" spans="1:5" x14ac:dyDescent="0.35">
      <c r="A233" s="21">
        <v>77010000036</v>
      </c>
      <c r="B233" s="21">
        <v>1</v>
      </c>
      <c r="C233" s="22" t="s">
        <v>12</v>
      </c>
      <c r="D233" s="21">
        <v>9.3800000000000008</v>
      </c>
      <c r="E233" s="35">
        <v>22</v>
      </c>
    </row>
    <row r="234" spans="1:5" x14ac:dyDescent="0.35">
      <c r="A234" s="21">
        <v>77010000044</v>
      </c>
      <c r="B234" s="21">
        <v>1</v>
      </c>
      <c r="C234" s="22" t="s">
        <v>12</v>
      </c>
      <c r="D234" s="21">
        <v>2.5</v>
      </c>
      <c r="E234" s="35">
        <v>22</v>
      </c>
    </row>
    <row r="235" spans="1:5" x14ac:dyDescent="0.35">
      <c r="A235" s="21">
        <v>77010000020</v>
      </c>
      <c r="B235" s="21">
        <v>1</v>
      </c>
      <c r="C235" s="22" t="s">
        <v>12</v>
      </c>
      <c r="D235" s="21">
        <v>9.3800000000000008</v>
      </c>
      <c r="E235" s="35">
        <v>22</v>
      </c>
    </row>
    <row r="236" spans="1:5" x14ac:dyDescent="0.35">
      <c r="A236" s="21">
        <v>77010000083</v>
      </c>
      <c r="B236" s="21">
        <v>1</v>
      </c>
      <c r="C236" s="22" t="s">
        <v>12</v>
      </c>
      <c r="D236" s="21">
        <v>9.3800000000000008</v>
      </c>
      <c r="E236" s="35">
        <v>22</v>
      </c>
    </row>
    <row r="237" spans="1:5" x14ac:dyDescent="0.35">
      <c r="A237" s="21">
        <v>77010000061</v>
      </c>
      <c r="B237" s="21">
        <v>1</v>
      </c>
      <c r="C237" s="22" t="s">
        <v>12</v>
      </c>
      <c r="D237" s="21">
        <v>9.8000000000000007</v>
      </c>
      <c r="E237" s="35">
        <v>23</v>
      </c>
    </row>
    <row r="238" spans="1:5" x14ac:dyDescent="0.35">
      <c r="A238" s="21">
        <v>77010000015</v>
      </c>
      <c r="B238" s="21">
        <v>1</v>
      </c>
      <c r="C238" s="22" t="s">
        <v>12</v>
      </c>
      <c r="D238" s="21">
        <v>9.8000000000000007</v>
      </c>
      <c r="E238" s="35">
        <v>23</v>
      </c>
    </row>
    <row r="239" spans="1:5" x14ac:dyDescent="0.35">
      <c r="A239" s="21">
        <v>77010000025</v>
      </c>
      <c r="B239" s="21">
        <v>1</v>
      </c>
      <c r="C239" s="22" t="s">
        <v>12</v>
      </c>
      <c r="D239" s="21">
        <v>9.8000000000000007</v>
      </c>
      <c r="E239" s="35">
        <v>23</v>
      </c>
    </row>
    <row r="240" spans="1:5" x14ac:dyDescent="0.35">
      <c r="A240" s="21">
        <v>77010000007</v>
      </c>
      <c r="B240" s="21">
        <v>1</v>
      </c>
      <c r="C240" s="22" t="s">
        <v>12</v>
      </c>
      <c r="D240" s="21">
        <v>10.23</v>
      </c>
      <c r="E240" s="35">
        <v>24</v>
      </c>
    </row>
    <row r="241" spans="1:5" x14ac:dyDescent="0.35">
      <c r="A241" s="21">
        <v>77010000041</v>
      </c>
      <c r="B241" s="21">
        <v>1</v>
      </c>
      <c r="C241" s="22" t="s">
        <v>12</v>
      </c>
      <c r="D241" s="21">
        <v>10.23</v>
      </c>
      <c r="E241" s="35">
        <v>24</v>
      </c>
    </row>
    <row r="242" spans="1:5" x14ac:dyDescent="0.35">
      <c r="A242" s="21">
        <v>77010000050</v>
      </c>
      <c r="B242" s="21">
        <v>1</v>
      </c>
      <c r="C242" s="22" t="s">
        <v>12</v>
      </c>
      <c r="D242" s="21">
        <v>10.23</v>
      </c>
      <c r="E242" s="35">
        <v>24</v>
      </c>
    </row>
    <row r="243" spans="1:5" x14ac:dyDescent="0.35">
      <c r="A243" s="21">
        <v>77010000075</v>
      </c>
      <c r="B243" s="21">
        <v>1</v>
      </c>
      <c r="C243" s="22" t="s">
        <v>12</v>
      </c>
      <c r="D243" s="21">
        <v>10.66</v>
      </c>
      <c r="E243" s="35">
        <v>25</v>
      </c>
    </row>
    <row r="244" spans="1:5" x14ac:dyDescent="0.35">
      <c r="A244" s="21">
        <v>77010000081</v>
      </c>
      <c r="B244" s="21">
        <v>1</v>
      </c>
      <c r="C244" s="22" t="s">
        <v>13</v>
      </c>
      <c r="D244" s="21">
        <v>22.3</v>
      </c>
      <c r="E244" s="35">
        <v>26</v>
      </c>
    </row>
    <row r="245" spans="1:5" x14ac:dyDescent="0.35">
      <c r="A245" s="21">
        <v>77010000077</v>
      </c>
      <c r="B245" s="21">
        <v>1</v>
      </c>
      <c r="C245" s="22" t="s">
        <v>12</v>
      </c>
      <c r="D245" s="21">
        <v>11.08</v>
      </c>
      <c r="E245" s="35">
        <v>26</v>
      </c>
    </row>
    <row r="246" spans="1:5" x14ac:dyDescent="0.35">
      <c r="A246" s="21">
        <v>77010000003</v>
      </c>
      <c r="B246" s="21">
        <v>1</v>
      </c>
      <c r="C246" s="22" t="s">
        <v>13</v>
      </c>
      <c r="D246" s="21">
        <v>22.3</v>
      </c>
      <c r="E246" s="35">
        <v>27</v>
      </c>
    </row>
    <row r="247" spans="1:5" x14ac:dyDescent="0.35">
      <c r="A247" s="21">
        <v>77010000015</v>
      </c>
      <c r="B247" s="21">
        <v>1</v>
      </c>
      <c r="C247" s="22" t="s">
        <v>12</v>
      </c>
      <c r="D247" s="21">
        <v>11.51</v>
      </c>
      <c r="E247" s="35">
        <v>27</v>
      </c>
    </row>
    <row r="248" spans="1:5" x14ac:dyDescent="0.35">
      <c r="A248" s="21">
        <v>77010000030</v>
      </c>
      <c r="B248" s="21">
        <v>1</v>
      </c>
      <c r="C248" s="22" t="s">
        <v>12</v>
      </c>
      <c r="D248" s="21">
        <v>11.51</v>
      </c>
      <c r="E248" s="35">
        <v>27</v>
      </c>
    </row>
    <row r="249" spans="1:5" x14ac:dyDescent="0.35">
      <c r="A249" s="21">
        <v>77010000055</v>
      </c>
      <c r="B249" s="21">
        <v>1</v>
      </c>
      <c r="C249" s="22" t="s">
        <v>12</v>
      </c>
      <c r="D249" s="21">
        <v>11.51</v>
      </c>
      <c r="E249" s="35">
        <v>27</v>
      </c>
    </row>
    <row r="250" spans="1:5" x14ac:dyDescent="0.35">
      <c r="A250" s="21">
        <v>77010000083</v>
      </c>
      <c r="B250" s="21">
        <v>1</v>
      </c>
      <c r="C250" s="22" t="s">
        <v>12</v>
      </c>
      <c r="D250" s="21">
        <v>11.51</v>
      </c>
      <c r="E250" s="35">
        <v>27</v>
      </c>
    </row>
    <row r="251" spans="1:5" x14ac:dyDescent="0.35">
      <c r="A251" s="21">
        <v>77010000047</v>
      </c>
      <c r="B251" s="21">
        <v>1</v>
      </c>
      <c r="C251" s="22" t="s">
        <v>12</v>
      </c>
      <c r="D251" s="21">
        <v>11.93</v>
      </c>
      <c r="E251" s="35">
        <v>28</v>
      </c>
    </row>
    <row r="252" spans="1:5" x14ac:dyDescent="0.35">
      <c r="A252" s="21">
        <v>77010000080</v>
      </c>
      <c r="B252" s="21">
        <v>1</v>
      </c>
      <c r="C252" s="22" t="s">
        <v>12</v>
      </c>
      <c r="D252" s="21">
        <v>11.93</v>
      </c>
      <c r="E252" s="35">
        <v>28</v>
      </c>
    </row>
    <row r="253" spans="1:5" x14ac:dyDescent="0.35">
      <c r="A253" s="21">
        <v>77010000019</v>
      </c>
      <c r="B253" s="21">
        <v>1</v>
      </c>
      <c r="C253" s="22" t="s">
        <v>12</v>
      </c>
      <c r="D253" s="21">
        <v>14.06</v>
      </c>
      <c r="E253" s="35">
        <v>33</v>
      </c>
    </row>
    <row r="254" spans="1:5" x14ac:dyDescent="0.35">
      <c r="A254" s="21">
        <v>77010000112</v>
      </c>
      <c r="B254" s="21">
        <v>2</v>
      </c>
      <c r="C254" s="22" t="s">
        <v>12</v>
      </c>
      <c r="D254" s="21">
        <v>0.43</v>
      </c>
      <c r="E254" s="35">
        <v>1</v>
      </c>
    </row>
    <row r="255" spans="1:5" x14ac:dyDescent="0.35">
      <c r="A255" s="21">
        <v>77010000114</v>
      </c>
      <c r="B255" s="21">
        <v>2</v>
      </c>
      <c r="C255" s="22" t="s">
        <v>12</v>
      </c>
      <c r="D255" s="21">
        <v>0.43</v>
      </c>
      <c r="E255" s="35">
        <v>1</v>
      </c>
    </row>
    <row r="256" spans="1:5" x14ac:dyDescent="0.35">
      <c r="A256" s="21">
        <v>77010000118</v>
      </c>
      <c r="B256" s="21">
        <v>2</v>
      </c>
      <c r="C256" s="22" t="s">
        <v>12</v>
      </c>
      <c r="D256" s="21">
        <v>0.43</v>
      </c>
      <c r="E256" s="35">
        <v>1</v>
      </c>
    </row>
    <row r="257" spans="1:5" x14ac:dyDescent="0.35">
      <c r="A257" s="21">
        <v>77010000120</v>
      </c>
      <c r="B257" s="21">
        <v>2</v>
      </c>
      <c r="C257" s="22" t="s">
        <v>12</v>
      </c>
      <c r="D257" s="21">
        <v>0.43</v>
      </c>
      <c r="E257" s="35">
        <v>1</v>
      </c>
    </row>
    <row r="258" spans="1:5" x14ac:dyDescent="0.35">
      <c r="A258" s="21">
        <v>77010000115</v>
      </c>
      <c r="B258" s="21">
        <v>2</v>
      </c>
      <c r="C258" s="22" t="s">
        <v>12</v>
      </c>
      <c r="D258" s="21">
        <v>1.28</v>
      </c>
      <c r="E258" s="35">
        <v>3</v>
      </c>
    </row>
    <row r="259" spans="1:5" x14ac:dyDescent="0.35">
      <c r="A259" s="21">
        <v>77010000121</v>
      </c>
      <c r="B259" s="21">
        <v>2</v>
      </c>
      <c r="C259" s="22" t="s">
        <v>12</v>
      </c>
      <c r="D259" s="21">
        <v>1.28</v>
      </c>
      <c r="E259" s="35">
        <v>3</v>
      </c>
    </row>
    <row r="260" spans="1:5" x14ac:dyDescent="0.35">
      <c r="A260" s="21">
        <v>77010000125</v>
      </c>
      <c r="B260" s="21">
        <v>2</v>
      </c>
      <c r="C260" s="22" t="s">
        <v>12</v>
      </c>
      <c r="D260" s="21">
        <v>1.28</v>
      </c>
      <c r="E260" s="35">
        <v>3</v>
      </c>
    </row>
    <row r="261" spans="1:5" x14ac:dyDescent="0.35">
      <c r="A261" s="21">
        <v>77010000103</v>
      </c>
      <c r="B261" s="21">
        <v>2</v>
      </c>
      <c r="C261" s="22" t="s">
        <v>12</v>
      </c>
      <c r="D261" s="21">
        <v>1.28</v>
      </c>
      <c r="E261" s="35">
        <v>3</v>
      </c>
    </row>
    <row r="262" spans="1:5" x14ac:dyDescent="0.35">
      <c r="A262" s="21">
        <v>77010000125</v>
      </c>
      <c r="B262" s="21">
        <v>2</v>
      </c>
      <c r="C262" s="22" t="s">
        <v>12</v>
      </c>
      <c r="D262" s="21">
        <v>1.7</v>
      </c>
      <c r="E262" s="35">
        <v>4</v>
      </c>
    </row>
    <row r="263" spans="1:5" x14ac:dyDescent="0.35">
      <c r="A263" s="21">
        <v>77010000120</v>
      </c>
      <c r="B263" s="21">
        <v>2</v>
      </c>
      <c r="C263" s="22" t="s">
        <v>12</v>
      </c>
      <c r="D263" s="21">
        <v>2.13</v>
      </c>
      <c r="E263" s="35">
        <v>5</v>
      </c>
    </row>
    <row r="264" spans="1:5" x14ac:dyDescent="0.35">
      <c r="A264" s="21">
        <v>77010000110</v>
      </c>
      <c r="B264" s="21">
        <v>2</v>
      </c>
      <c r="C264" s="22" t="s">
        <v>12</v>
      </c>
      <c r="D264" s="21">
        <v>2.98</v>
      </c>
      <c r="E264" s="35">
        <v>7</v>
      </c>
    </row>
    <row r="265" spans="1:5" x14ac:dyDescent="0.35">
      <c r="A265" s="21">
        <v>77010000128</v>
      </c>
      <c r="B265" s="21">
        <v>2</v>
      </c>
      <c r="C265" s="22" t="s">
        <v>12</v>
      </c>
      <c r="D265" s="21">
        <v>2.98</v>
      </c>
      <c r="E265" s="35">
        <v>7</v>
      </c>
    </row>
    <row r="266" spans="1:5" x14ac:dyDescent="0.35">
      <c r="A266" s="21">
        <v>77010000126</v>
      </c>
      <c r="B266" s="21">
        <v>2</v>
      </c>
      <c r="C266" s="22" t="s">
        <v>12</v>
      </c>
      <c r="D266" s="21">
        <v>2.98</v>
      </c>
      <c r="E266" s="35">
        <v>7</v>
      </c>
    </row>
    <row r="267" spans="1:5" x14ac:dyDescent="0.35">
      <c r="A267" s="21">
        <v>77010000127</v>
      </c>
      <c r="B267" s="21">
        <v>2</v>
      </c>
      <c r="C267" s="22" t="s">
        <v>13</v>
      </c>
      <c r="D267" s="21">
        <v>7.84</v>
      </c>
      <c r="E267" s="35">
        <v>7</v>
      </c>
    </row>
    <row r="268" spans="1:5" x14ac:dyDescent="0.35">
      <c r="A268" s="21">
        <v>77010000100</v>
      </c>
      <c r="B268" s="21">
        <v>2</v>
      </c>
      <c r="C268" s="22" t="s">
        <v>12</v>
      </c>
      <c r="D268" s="21">
        <v>2.98</v>
      </c>
      <c r="E268" s="35">
        <v>7</v>
      </c>
    </row>
    <row r="269" spans="1:5" x14ac:dyDescent="0.35">
      <c r="A269" s="21">
        <v>77010000102</v>
      </c>
      <c r="B269" s="21">
        <v>2</v>
      </c>
      <c r="C269" s="22" t="s">
        <v>12</v>
      </c>
      <c r="D269" s="21">
        <v>2.98</v>
      </c>
      <c r="E269" s="35">
        <v>7</v>
      </c>
    </row>
    <row r="270" spans="1:5" x14ac:dyDescent="0.35">
      <c r="A270" s="21">
        <v>77010000124</v>
      </c>
      <c r="B270" s="21">
        <v>2</v>
      </c>
      <c r="C270" s="22" t="s">
        <v>12</v>
      </c>
      <c r="D270" s="21">
        <v>3.41</v>
      </c>
      <c r="E270" s="35">
        <v>8</v>
      </c>
    </row>
    <row r="271" spans="1:5" x14ac:dyDescent="0.35">
      <c r="A271" s="21">
        <v>77010000111</v>
      </c>
      <c r="B271" s="21">
        <v>2</v>
      </c>
      <c r="C271" s="22" t="s">
        <v>12</v>
      </c>
      <c r="D271" s="21">
        <v>3.84</v>
      </c>
      <c r="E271" s="35">
        <v>9</v>
      </c>
    </row>
    <row r="272" spans="1:5" x14ac:dyDescent="0.35">
      <c r="A272" s="21">
        <v>77010000129</v>
      </c>
      <c r="B272" s="21">
        <v>2</v>
      </c>
      <c r="C272" s="22" t="s">
        <v>12</v>
      </c>
      <c r="D272" s="21">
        <v>3.84</v>
      </c>
      <c r="E272" s="35">
        <v>9</v>
      </c>
    </row>
    <row r="273" spans="1:5" x14ac:dyDescent="0.35">
      <c r="A273" s="21">
        <v>77010000110</v>
      </c>
      <c r="B273" s="21">
        <v>2</v>
      </c>
      <c r="C273" s="22" t="s">
        <v>12</v>
      </c>
      <c r="D273" s="21">
        <v>3.84</v>
      </c>
      <c r="E273" s="35">
        <v>9</v>
      </c>
    </row>
    <row r="274" spans="1:5" x14ac:dyDescent="0.35">
      <c r="A274" s="21">
        <v>77010000128</v>
      </c>
      <c r="B274" s="21">
        <v>2</v>
      </c>
      <c r="C274" s="22" t="s">
        <v>12</v>
      </c>
      <c r="D274" s="21">
        <v>4.26</v>
      </c>
      <c r="E274" s="35">
        <v>10</v>
      </c>
    </row>
    <row r="275" spans="1:5" x14ac:dyDescent="0.35">
      <c r="A275" s="21">
        <v>77010000120</v>
      </c>
      <c r="B275" s="21">
        <v>2</v>
      </c>
      <c r="C275" s="22" t="s">
        <v>12</v>
      </c>
      <c r="D275" s="21">
        <v>4.26</v>
      </c>
      <c r="E275" s="35">
        <v>10</v>
      </c>
    </row>
    <row r="276" spans="1:5" x14ac:dyDescent="0.35">
      <c r="A276" s="21">
        <v>77010000098</v>
      </c>
      <c r="B276" s="21">
        <v>2</v>
      </c>
      <c r="C276" s="22" t="s">
        <v>12</v>
      </c>
      <c r="D276" s="21">
        <v>2.2799999999999998</v>
      </c>
      <c r="E276" s="35">
        <v>10</v>
      </c>
    </row>
    <row r="277" spans="1:5" x14ac:dyDescent="0.35">
      <c r="A277" s="21">
        <v>77010000104</v>
      </c>
      <c r="B277" s="21">
        <v>2</v>
      </c>
      <c r="C277" s="22" t="s">
        <v>12</v>
      </c>
      <c r="D277" s="21">
        <v>4.26</v>
      </c>
      <c r="E277" s="35">
        <v>10</v>
      </c>
    </row>
    <row r="278" spans="1:5" x14ac:dyDescent="0.35">
      <c r="A278" s="21">
        <v>77010000127</v>
      </c>
      <c r="B278" s="21">
        <v>2</v>
      </c>
      <c r="C278" s="22" t="s">
        <v>13</v>
      </c>
      <c r="D278" s="21">
        <v>15.68</v>
      </c>
      <c r="E278" s="35">
        <v>13</v>
      </c>
    </row>
    <row r="279" spans="1:5" x14ac:dyDescent="0.35">
      <c r="A279" s="21">
        <v>77010000129</v>
      </c>
      <c r="B279" s="21">
        <v>2</v>
      </c>
      <c r="C279" s="22" t="s">
        <v>12</v>
      </c>
      <c r="D279" s="21">
        <v>5.54</v>
      </c>
      <c r="E279" s="35">
        <v>13</v>
      </c>
    </row>
    <row r="280" spans="1:5" x14ac:dyDescent="0.35">
      <c r="A280" s="21">
        <v>77010000106</v>
      </c>
      <c r="B280" s="21">
        <v>2</v>
      </c>
      <c r="C280" s="22" t="s">
        <v>12</v>
      </c>
      <c r="D280" s="21">
        <v>5.97</v>
      </c>
      <c r="E280" s="35">
        <v>14</v>
      </c>
    </row>
    <row r="281" spans="1:5" x14ac:dyDescent="0.35">
      <c r="A281" s="21">
        <v>77010000107</v>
      </c>
      <c r="B281" s="21">
        <v>2</v>
      </c>
      <c r="C281" s="22" t="s">
        <v>12</v>
      </c>
      <c r="D281" s="21">
        <v>5.97</v>
      </c>
      <c r="E281" s="35">
        <v>14</v>
      </c>
    </row>
    <row r="282" spans="1:5" x14ac:dyDescent="0.35">
      <c r="A282" s="21">
        <v>77010000105</v>
      </c>
      <c r="B282" s="21">
        <v>2</v>
      </c>
      <c r="C282" s="22" t="s">
        <v>12</v>
      </c>
      <c r="D282" s="21">
        <v>5.97</v>
      </c>
      <c r="E282" s="35">
        <v>14</v>
      </c>
    </row>
    <row r="283" spans="1:5" x14ac:dyDescent="0.35">
      <c r="A283" s="21">
        <v>77010000117</v>
      </c>
      <c r="B283" s="21">
        <v>2</v>
      </c>
      <c r="C283" s="22" t="s">
        <v>12</v>
      </c>
      <c r="D283" s="21">
        <v>7.25</v>
      </c>
      <c r="E283" s="35">
        <v>17</v>
      </c>
    </row>
    <row r="284" spans="1:5" x14ac:dyDescent="0.35">
      <c r="A284" s="21">
        <v>77010000123</v>
      </c>
      <c r="B284" s="21">
        <v>2</v>
      </c>
      <c r="C284" s="22" t="s">
        <v>12</v>
      </c>
      <c r="D284" s="21">
        <v>7.25</v>
      </c>
      <c r="E284" s="35">
        <v>17</v>
      </c>
    </row>
    <row r="285" spans="1:5" x14ac:dyDescent="0.35">
      <c r="A285" s="21">
        <v>77010000127</v>
      </c>
      <c r="B285" s="21">
        <v>2</v>
      </c>
      <c r="C285" s="22" t="s">
        <v>13</v>
      </c>
      <c r="D285" s="21">
        <v>15.68</v>
      </c>
      <c r="E285" s="35">
        <v>17</v>
      </c>
    </row>
    <row r="286" spans="1:5" x14ac:dyDescent="0.35">
      <c r="A286" s="21">
        <v>77010000105</v>
      </c>
      <c r="B286" s="21">
        <v>2</v>
      </c>
      <c r="C286" s="22" t="s">
        <v>12</v>
      </c>
      <c r="D286" s="21">
        <v>7.67</v>
      </c>
      <c r="E286" s="35">
        <v>18</v>
      </c>
    </row>
    <row r="287" spans="1:5" x14ac:dyDescent="0.35">
      <c r="A287" s="21">
        <v>77010000113</v>
      </c>
      <c r="B287" s="21">
        <v>2</v>
      </c>
      <c r="C287" s="22" t="s">
        <v>12</v>
      </c>
      <c r="D287" s="21">
        <v>4.33</v>
      </c>
      <c r="E287" s="35">
        <v>19</v>
      </c>
    </row>
    <row r="288" spans="1:5" x14ac:dyDescent="0.35">
      <c r="A288" s="21">
        <v>77010000119</v>
      </c>
      <c r="B288" s="21">
        <v>2</v>
      </c>
      <c r="C288" s="22" t="s">
        <v>12</v>
      </c>
      <c r="D288" s="21">
        <v>4.33</v>
      </c>
      <c r="E288" s="35">
        <v>19</v>
      </c>
    </row>
    <row r="289" spans="1:5" x14ac:dyDescent="0.35">
      <c r="A289" s="21">
        <v>77010000126</v>
      </c>
      <c r="B289" s="21">
        <v>2</v>
      </c>
      <c r="C289" s="22" t="s">
        <v>12</v>
      </c>
      <c r="D289" s="21">
        <v>8.1</v>
      </c>
      <c r="E289" s="35">
        <v>19</v>
      </c>
    </row>
    <row r="290" spans="1:5" x14ac:dyDescent="0.35">
      <c r="A290" s="21">
        <v>77010000128</v>
      </c>
      <c r="B290" s="21">
        <v>2</v>
      </c>
      <c r="C290" s="22" t="s">
        <v>12</v>
      </c>
      <c r="D290" s="21">
        <v>4.33</v>
      </c>
      <c r="E290" s="35">
        <v>19</v>
      </c>
    </row>
    <row r="291" spans="1:5" x14ac:dyDescent="0.35">
      <c r="A291" s="21">
        <v>77010000125</v>
      </c>
      <c r="B291" s="21">
        <v>2</v>
      </c>
      <c r="C291" s="22" t="s">
        <v>12</v>
      </c>
      <c r="D291" s="21">
        <v>5.0199999999999996</v>
      </c>
      <c r="E291" s="35">
        <v>22</v>
      </c>
    </row>
    <row r="292" spans="1:5" x14ac:dyDescent="0.35">
      <c r="A292" s="21">
        <v>77010000124</v>
      </c>
      <c r="B292" s="21">
        <v>2</v>
      </c>
      <c r="C292" s="22" t="s">
        <v>12</v>
      </c>
      <c r="D292" s="21">
        <v>9.3800000000000008</v>
      </c>
      <c r="E292" s="35">
        <v>22</v>
      </c>
    </row>
    <row r="293" spans="1:5" x14ac:dyDescent="0.35">
      <c r="A293" s="21">
        <v>77010000116</v>
      </c>
      <c r="B293" s="21">
        <v>2</v>
      </c>
      <c r="C293" s="22" t="s">
        <v>12</v>
      </c>
      <c r="D293" s="21">
        <v>10.23</v>
      </c>
      <c r="E293" s="35">
        <v>24</v>
      </c>
    </row>
    <row r="294" spans="1:5" x14ac:dyDescent="0.35">
      <c r="A294" s="21">
        <v>77010000122</v>
      </c>
      <c r="B294" s="21">
        <v>2</v>
      </c>
      <c r="C294" s="22" t="s">
        <v>12</v>
      </c>
      <c r="D294" s="21">
        <v>10.23</v>
      </c>
      <c r="E294" s="35">
        <v>24</v>
      </c>
    </row>
    <row r="295" spans="1:5" x14ac:dyDescent="0.35">
      <c r="A295" s="21">
        <v>77010000123</v>
      </c>
      <c r="B295" s="21">
        <v>2</v>
      </c>
      <c r="C295" s="22" t="s">
        <v>12</v>
      </c>
      <c r="D295" s="21">
        <v>5.47</v>
      </c>
      <c r="E295" s="35">
        <v>24</v>
      </c>
    </row>
    <row r="296" spans="1:5" x14ac:dyDescent="0.35">
      <c r="A296" s="21">
        <v>77010000106</v>
      </c>
      <c r="B296" s="21">
        <v>2</v>
      </c>
      <c r="C296" s="22" t="s">
        <v>14</v>
      </c>
      <c r="D296" s="21">
        <v>23.52</v>
      </c>
      <c r="E296" s="35">
        <v>26</v>
      </c>
    </row>
    <row r="297" spans="1:5" x14ac:dyDescent="0.35">
      <c r="A297" s="21">
        <v>77010000121</v>
      </c>
      <c r="B297" s="21">
        <v>2</v>
      </c>
      <c r="C297" s="22" t="s">
        <v>12</v>
      </c>
      <c r="D297" s="21">
        <v>6.38</v>
      </c>
      <c r="E297" s="35">
        <v>28</v>
      </c>
    </row>
    <row r="298" spans="1:5" x14ac:dyDescent="0.35">
      <c r="A298" s="21">
        <v>77010000109</v>
      </c>
      <c r="B298" s="21">
        <v>2</v>
      </c>
      <c r="C298" s="22" t="s">
        <v>12</v>
      </c>
      <c r="D298" s="21">
        <v>13.21</v>
      </c>
      <c r="E298" s="35">
        <v>31</v>
      </c>
    </row>
    <row r="299" spans="1:5" x14ac:dyDescent="0.35">
      <c r="A299" s="21">
        <v>77010000124</v>
      </c>
      <c r="B299" s="21">
        <v>2</v>
      </c>
      <c r="C299" s="22" t="s">
        <v>12</v>
      </c>
      <c r="D299" s="21">
        <v>13.64</v>
      </c>
      <c r="E299" s="35">
        <v>32</v>
      </c>
    </row>
    <row r="300" spans="1:5" x14ac:dyDescent="0.35">
      <c r="A300" s="21">
        <v>77010000126</v>
      </c>
      <c r="B300" s="21">
        <v>2</v>
      </c>
      <c r="C300" s="22" t="s">
        <v>12</v>
      </c>
      <c r="D300" s="21">
        <v>13.64</v>
      </c>
      <c r="E300" s="35">
        <v>32</v>
      </c>
    </row>
    <row r="301" spans="1:5" x14ac:dyDescent="0.35">
      <c r="A301" s="21">
        <v>77010000108</v>
      </c>
      <c r="B301" s="21">
        <v>2</v>
      </c>
      <c r="C301" s="22" t="s">
        <v>12</v>
      </c>
      <c r="D301" s="21">
        <v>8.2100000000000009</v>
      </c>
      <c r="E301" s="35">
        <v>36</v>
      </c>
    </row>
    <row r="302" spans="1:5" x14ac:dyDescent="0.35">
      <c r="A302" s="21">
        <v>77010000110</v>
      </c>
      <c r="B302" s="21">
        <v>2</v>
      </c>
      <c r="C302" s="22" t="s">
        <v>12</v>
      </c>
      <c r="D302" s="21">
        <v>8.89</v>
      </c>
      <c r="E302" s="35">
        <v>39</v>
      </c>
    </row>
    <row r="303" spans="1:5" x14ac:dyDescent="0.35">
      <c r="A303" s="21">
        <v>77010000111</v>
      </c>
      <c r="B303" s="21">
        <v>2</v>
      </c>
      <c r="C303" s="22" t="s">
        <v>12</v>
      </c>
      <c r="D303" s="21">
        <v>8.89</v>
      </c>
      <c r="E303" s="35">
        <v>39</v>
      </c>
    </row>
    <row r="304" spans="1:5" x14ac:dyDescent="0.35">
      <c r="A304" s="21">
        <v>77010000114</v>
      </c>
      <c r="B304" s="21">
        <v>2</v>
      </c>
      <c r="C304" s="22" t="s">
        <v>12</v>
      </c>
      <c r="D304" s="21">
        <v>17.47</v>
      </c>
      <c r="E304" s="35">
        <v>41</v>
      </c>
    </row>
    <row r="305" spans="1:5" x14ac:dyDescent="0.35">
      <c r="A305" s="21">
        <v>77010000101</v>
      </c>
      <c r="B305" s="21">
        <v>2</v>
      </c>
      <c r="C305" s="22" t="s">
        <v>12</v>
      </c>
      <c r="D305" s="21">
        <v>17.47</v>
      </c>
      <c r="E305" s="35">
        <v>41</v>
      </c>
    </row>
    <row r="306" spans="1:5" x14ac:dyDescent="0.35">
      <c r="A306" s="21">
        <v>77010000112</v>
      </c>
      <c r="B306" s="21">
        <v>2</v>
      </c>
      <c r="C306" s="22" t="s">
        <v>12</v>
      </c>
      <c r="D306" s="21">
        <v>18.329999999999998</v>
      </c>
      <c r="E306" s="35">
        <v>43</v>
      </c>
    </row>
    <row r="307" spans="1:5" x14ac:dyDescent="0.35">
      <c r="A307" s="21">
        <v>77010000129</v>
      </c>
      <c r="B307" s="21">
        <v>2</v>
      </c>
      <c r="C307" s="22" t="s">
        <v>12</v>
      </c>
      <c r="D307" s="21">
        <v>21.31</v>
      </c>
      <c r="E307" s="35">
        <v>50</v>
      </c>
    </row>
    <row r="308" spans="1:5" x14ac:dyDescent="0.35">
      <c r="A308" s="21">
        <v>77010000108</v>
      </c>
      <c r="B308" s="21">
        <v>2</v>
      </c>
      <c r="C308" s="22" t="s">
        <v>12</v>
      </c>
      <c r="D308" s="21">
        <v>22.59</v>
      </c>
      <c r="E308" s="35">
        <v>53</v>
      </c>
    </row>
    <row r="309" spans="1:5" x14ac:dyDescent="0.35">
      <c r="A309" s="21">
        <v>77010000115</v>
      </c>
      <c r="B309" s="21">
        <v>2</v>
      </c>
      <c r="C309" s="22" t="s">
        <v>12</v>
      </c>
      <c r="D309" s="21">
        <v>23.01</v>
      </c>
      <c r="E309" s="35">
        <v>54</v>
      </c>
    </row>
    <row r="310" spans="1:5" x14ac:dyDescent="0.35">
      <c r="A310" s="21">
        <v>77010000113</v>
      </c>
      <c r="B310" s="21">
        <v>2</v>
      </c>
      <c r="C310" s="22" t="s">
        <v>12</v>
      </c>
      <c r="D310" s="21">
        <v>25.15</v>
      </c>
      <c r="E310" s="35">
        <v>59</v>
      </c>
    </row>
    <row r="311" spans="1:5" x14ac:dyDescent="0.35">
      <c r="A311" s="21">
        <v>77010000123</v>
      </c>
      <c r="B311" s="21">
        <v>2</v>
      </c>
      <c r="C311" s="22" t="s">
        <v>12</v>
      </c>
      <c r="D311" s="21">
        <v>14.14</v>
      </c>
      <c r="E311" s="35">
        <v>62</v>
      </c>
    </row>
    <row r="312" spans="1:5" x14ac:dyDescent="0.35">
      <c r="A312" s="21">
        <v>77010000121</v>
      </c>
      <c r="B312" s="21">
        <v>2</v>
      </c>
      <c r="C312" s="22" t="s">
        <v>12</v>
      </c>
      <c r="D312" s="21">
        <v>28.13</v>
      </c>
      <c r="E312" s="35">
        <v>66</v>
      </c>
    </row>
    <row r="313" spans="1:5" x14ac:dyDescent="0.35">
      <c r="A313" s="21">
        <v>77010000099</v>
      </c>
      <c r="B313" s="21">
        <v>2</v>
      </c>
      <c r="C313" s="22" t="s">
        <v>12</v>
      </c>
      <c r="D313" s="21">
        <v>29.83</v>
      </c>
      <c r="E313" s="35">
        <v>70</v>
      </c>
    </row>
    <row r="314" spans="1:5" x14ac:dyDescent="0.35">
      <c r="A314" s="21">
        <v>77010000122</v>
      </c>
      <c r="B314" s="21">
        <v>2</v>
      </c>
      <c r="C314" s="22" t="s">
        <v>12</v>
      </c>
      <c r="D314" s="21">
        <v>16.87</v>
      </c>
      <c r="E314" s="35">
        <v>74</v>
      </c>
    </row>
    <row r="315" spans="1:5" x14ac:dyDescent="0.35">
      <c r="A315" s="21">
        <v>77010000099</v>
      </c>
      <c r="B315" s="21">
        <v>2</v>
      </c>
      <c r="C315" s="22" t="s">
        <v>12</v>
      </c>
      <c r="D315" s="21">
        <v>32.39</v>
      </c>
      <c r="E315" s="35">
        <v>76</v>
      </c>
    </row>
    <row r="316" spans="1:5" x14ac:dyDescent="0.35">
      <c r="A316" s="21">
        <v>77010000109</v>
      </c>
      <c r="B316" s="21">
        <v>2</v>
      </c>
      <c r="C316" s="22" t="s">
        <v>13</v>
      </c>
      <c r="D316" s="21">
        <v>62.72</v>
      </c>
      <c r="E316" s="35">
        <v>79</v>
      </c>
    </row>
    <row r="317" spans="1:5" x14ac:dyDescent="0.35">
      <c r="A317" s="21">
        <v>77010000109</v>
      </c>
      <c r="B317" s="21">
        <v>2</v>
      </c>
      <c r="C317" s="22" t="s">
        <v>12</v>
      </c>
      <c r="D317" s="21">
        <v>18.47</v>
      </c>
      <c r="E317" s="35">
        <v>81</v>
      </c>
    </row>
    <row r="318" spans="1:5" x14ac:dyDescent="0.35">
      <c r="A318" s="21">
        <v>77010000107</v>
      </c>
      <c r="B318" s="21">
        <v>2</v>
      </c>
      <c r="C318" s="22" t="s">
        <v>12</v>
      </c>
      <c r="D318" s="21">
        <v>34.950000000000003</v>
      </c>
      <c r="E318" s="35">
        <v>82</v>
      </c>
    </row>
    <row r="319" spans="1:5" x14ac:dyDescent="0.35">
      <c r="A319" s="21">
        <v>77010000122</v>
      </c>
      <c r="B319" s="21">
        <v>2</v>
      </c>
      <c r="C319" s="22" t="s">
        <v>12</v>
      </c>
      <c r="D319" s="21">
        <v>21.2</v>
      </c>
      <c r="E319" s="35">
        <v>93</v>
      </c>
    </row>
    <row r="320" spans="1:5" x14ac:dyDescent="0.35">
      <c r="A320" s="21">
        <v>77010000138</v>
      </c>
      <c r="B320" s="21">
        <v>3</v>
      </c>
      <c r="C320" s="22" t="s">
        <v>12</v>
      </c>
      <c r="D320" s="21">
        <v>0.43</v>
      </c>
      <c r="E320" s="35">
        <v>1</v>
      </c>
    </row>
    <row r="321" spans="1:5" x14ac:dyDescent="0.35">
      <c r="A321" s="21">
        <v>77010000135</v>
      </c>
      <c r="B321" s="21">
        <v>3</v>
      </c>
      <c r="C321" s="22" t="s">
        <v>12</v>
      </c>
      <c r="D321" s="21">
        <v>0.85</v>
      </c>
      <c r="E321" s="35">
        <v>2</v>
      </c>
    </row>
    <row r="322" spans="1:5" x14ac:dyDescent="0.35">
      <c r="A322" s="21">
        <v>77010000134</v>
      </c>
      <c r="B322" s="21">
        <v>3</v>
      </c>
      <c r="C322" s="22" t="s">
        <v>12</v>
      </c>
      <c r="D322" s="21">
        <v>0.85</v>
      </c>
      <c r="E322" s="35">
        <v>2</v>
      </c>
    </row>
    <row r="323" spans="1:5" x14ac:dyDescent="0.35">
      <c r="A323" s="21">
        <v>77010000130</v>
      </c>
      <c r="B323" s="21">
        <v>3</v>
      </c>
      <c r="C323" s="22" t="s">
        <v>12</v>
      </c>
      <c r="D323" s="21">
        <v>2.13</v>
      </c>
      <c r="E323" s="35">
        <v>5</v>
      </c>
    </row>
    <row r="324" spans="1:5" x14ac:dyDescent="0.35">
      <c r="A324" s="21">
        <v>77010000130</v>
      </c>
      <c r="B324" s="21">
        <v>3</v>
      </c>
      <c r="C324" s="22" t="s">
        <v>12</v>
      </c>
      <c r="D324" s="21">
        <v>2.56</v>
      </c>
      <c r="E324" s="35">
        <v>6</v>
      </c>
    </row>
    <row r="325" spans="1:5" x14ac:dyDescent="0.35">
      <c r="A325" s="21">
        <v>77010000131</v>
      </c>
      <c r="B325" s="21">
        <v>3</v>
      </c>
      <c r="C325" s="22" t="s">
        <v>12</v>
      </c>
      <c r="D325" s="21">
        <v>2.56</v>
      </c>
      <c r="E325" s="35">
        <v>6</v>
      </c>
    </row>
    <row r="326" spans="1:5" x14ac:dyDescent="0.35">
      <c r="A326" s="21">
        <v>77010000145</v>
      </c>
      <c r="B326" s="21">
        <v>3</v>
      </c>
      <c r="C326" s="22" t="s">
        <v>12</v>
      </c>
      <c r="D326" s="21">
        <v>3.84</v>
      </c>
      <c r="E326" s="35">
        <v>9</v>
      </c>
    </row>
    <row r="327" spans="1:5" x14ac:dyDescent="0.35">
      <c r="A327" s="21">
        <v>77010000137</v>
      </c>
      <c r="B327" s="21">
        <v>3</v>
      </c>
      <c r="C327" s="22" t="s">
        <v>12</v>
      </c>
      <c r="D327" s="21">
        <v>4.26</v>
      </c>
      <c r="E327" s="35">
        <v>10</v>
      </c>
    </row>
    <row r="328" spans="1:5" x14ac:dyDescent="0.35">
      <c r="A328" s="21">
        <v>77010000132</v>
      </c>
      <c r="B328" s="21">
        <v>3</v>
      </c>
      <c r="C328" s="22" t="s">
        <v>12</v>
      </c>
      <c r="D328" s="21">
        <v>4.26</v>
      </c>
      <c r="E328" s="35">
        <v>10</v>
      </c>
    </row>
    <row r="329" spans="1:5" x14ac:dyDescent="0.35">
      <c r="A329" s="21">
        <v>77010000139</v>
      </c>
      <c r="B329" s="21">
        <v>3</v>
      </c>
      <c r="C329" s="22" t="s">
        <v>12</v>
      </c>
      <c r="D329" s="21">
        <v>5.1100000000000003</v>
      </c>
      <c r="E329" s="35">
        <v>12</v>
      </c>
    </row>
    <row r="330" spans="1:5" x14ac:dyDescent="0.35">
      <c r="A330" s="21">
        <v>77010000135</v>
      </c>
      <c r="B330" s="21">
        <v>3</v>
      </c>
      <c r="C330" s="22" t="s">
        <v>12</v>
      </c>
      <c r="D330" s="21">
        <v>5.54</v>
      </c>
      <c r="E330" s="35">
        <v>13</v>
      </c>
    </row>
    <row r="331" spans="1:5" x14ac:dyDescent="0.35">
      <c r="A331" s="21">
        <v>77010000136</v>
      </c>
      <c r="B331" s="21">
        <v>3</v>
      </c>
      <c r="C331" s="22" t="s">
        <v>12</v>
      </c>
      <c r="D331" s="21">
        <v>5.97</v>
      </c>
      <c r="E331" s="35">
        <v>14</v>
      </c>
    </row>
    <row r="332" spans="1:5" x14ac:dyDescent="0.35">
      <c r="A332" s="21">
        <v>77010000144</v>
      </c>
      <c r="B332" s="21">
        <v>3</v>
      </c>
      <c r="C332" s="22" t="s">
        <v>12</v>
      </c>
      <c r="D332" s="21">
        <v>6.39</v>
      </c>
      <c r="E332" s="35">
        <v>15</v>
      </c>
    </row>
    <row r="333" spans="1:5" x14ac:dyDescent="0.35">
      <c r="A333" s="21">
        <v>77010000143</v>
      </c>
      <c r="B333" s="21">
        <v>3</v>
      </c>
      <c r="C333" s="22" t="s">
        <v>12</v>
      </c>
      <c r="D333" s="21">
        <v>7.67</v>
      </c>
      <c r="E333" s="35">
        <v>18</v>
      </c>
    </row>
    <row r="334" spans="1:5" x14ac:dyDescent="0.35">
      <c r="A334" s="21">
        <v>77010000131</v>
      </c>
      <c r="B334" s="21">
        <v>3</v>
      </c>
      <c r="C334" s="22" t="s">
        <v>12</v>
      </c>
      <c r="D334" s="21">
        <v>8.52</v>
      </c>
      <c r="E334" s="35">
        <v>20</v>
      </c>
    </row>
    <row r="335" spans="1:5" x14ac:dyDescent="0.35">
      <c r="A335" s="21">
        <v>77010000141</v>
      </c>
      <c r="B335" s="21">
        <v>3</v>
      </c>
      <c r="C335" s="22" t="s">
        <v>12</v>
      </c>
      <c r="D335" s="21">
        <v>8.9499999999999993</v>
      </c>
      <c r="E335" s="35">
        <v>21</v>
      </c>
    </row>
    <row r="336" spans="1:5" x14ac:dyDescent="0.35">
      <c r="A336" s="21">
        <v>77010000136</v>
      </c>
      <c r="B336" s="21">
        <v>3</v>
      </c>
      <c r="C336" s="22" t="s">
        <v>12</v>
      </c>
      <c r="D336" s="21">
        <v>9.3800000000000008</v>
      </c>
      <c r="E336" s="35">
        <v>22</v>
      </c>
    </row>
    <row r="337" spans="1:5" x14ac:dyDescent="0.35">
      <c r="A337" s="21">
        <v>77010000131</v>
      </c>
      <c r="B337" s="21">
        <v>3</v>
      </c>
      <c r="C337" s="22" t="s">
        <v>12</v>
      </c>
      <c r="D337" s="21">
        <v>9.8000000000000007</v>
      </c>
      <c r="E337" s="35">
        <v>23</v>
      </c>
    </row>
    <row r="338" spans="1:5" x14ac:dyDescent="0.35">
      <c r="A338" s="21">
        <v>77010000133</v>
      </c>
      <c r="B338" s="21">
        <v>3</v>
      </c>
      <c r="C338" s="22" t="s">
        <v>12</v>
      </c>
      <c r="D338" s="21">
        <v>9.8000000000000007</v>
      </c>
      <c r="E338" s="35">
        <v>23</v>
      </c>
    </row>
    <row r="339" spans="1:5" x14ac:dyDescent="0.35">
      <c r="A339" s="21">
        <v>77010000133</v>
      </c>
      <c r="B339" s="21">
        <v>3</v>
      </c>
      <c r="C339" s="22" t="s">
        <v>12</v>
      </c>
      <c r="D339" s="21">
        <v>10.23</v>
      </c>
      <c r="E339" s="35">
        <v>24</v>
      </c>
    </row>
    <row r="340" spans="1:5" x14ac:dyDescent="0.35">
      <c r="A340" s="21">
        <v>77010000134</v>
      </c>
      <c r="B340" s="21">
        <v>3</v>
      </c>
      <c r="C340" s="22" t="s">
        <v>12</v>
      </c>
      <c r="D340" s="21">
        <v>11.51</v>
      </c>
      <c r="E340" s="35">
        <v>27</v>
      </c>
    </row>
    <row r="341" spans="1:5" x14ac:dyDescent="0.35">
      <c r="A341" s="21">
        <v>77010000132</v>
      </c>
      <c r="B341" s="21">
        <v>3</v>
      </c>
      <c r="C341" s="22" t="s">
        <v>16</v>
      </c>
      <c r="D341" s="21">
        <v>0</v>
      </c>
      <c r="E341" s="35">
        <v>31</v>
      </c>
    </row>
    <row r="342" spans="1:5" x14ac:dyDescent="0.35">
      <c r="A342" s="21">
        <v>77010000146</v>
      </c>
      <c r="B342" s="21">
        <v>3</v>
      </c>
      <c r="C342" s="22" t="s">
        <v>12</v>
      </c>
      <c r="D342" s="21">
        <v>15.77</v>
      </c>
      <c r="E342" s="35">
        <v>37</v>
      </c>
    </row>
    <row r="343" spans="1:5" x14ac:dyDescent="0.35">
      <c r="A343" s="21">
        <v>77010000130</v>
      </c>
      <c r="B343" s="21">
        <v>3</v>
      </c>
      <c r="C343" s="22" t="s">
        <v>12</v>
      </c>
      <c r="D343" s="21">
        <v>18.75</v>
      </c>
      <c r="E343" s="35">
        <v>44</v>
      </c>
    </row>
    <row r="344" spans="1:5" x14ac:dyDescent="0.35">
      <c r="A344" s="21">
        <v>77010000140</v>
      </c>
      <c r="B344" s="21">
        <v>3</v>
      </c>
      <c r="C344" s="22" t="s">
        <v>12</v>
      </c>
      <c r="D344" s="21">
        <v>18.75</v>
      </c>
      <c r="E344" s="35">
        <v>44</v>
      </c>
    </row>
    <row r="345" spans="1:5" x14ac:dyDescent="0.35">
      <c r="A345" s="21">
        <v>77010000133</v>
      </c>
      <c r="B345" s="21">
        <v>3</v>
      </c>
      <c r="C345" s="22" t="s">
        <v>12</v>
      </c>
      <c r="D345" s="21">
        <v>21.74</v>
      </c>
      <c r="E345" s="35">
        <v>51</v>
      </c>
    </row>
    <row r="346" spans="1:5" x14ac:dyDescent="0.35">
      <c r="A346" s="21">
        <v>77010000130</v>
      </c>
      <c r="B346" s="21">
        <v>3</v>
      </c>
      <c r="C346" s="22" t="s">
        <v>12</v>
      </c>
      <c r="D346" s="21">
        <v>24.72</v>
      </c>
      <c r="E346" s="35">
        <v>58</v>
      </c>
    </row>
    <row r="347" spans="1:5" x14ac:dyDescent="0.35">
      <c r="A347" s="21">
        <v>77010000132</v>
      </c>
      <c r="B347" s="21">
        <v>3</v>
      </c>
      <c r="C347" s="22" t="s">
        <v>12</v>
      </c>
      <c r="D347" s="21">
        <v>29.41</v>
      </c>
      <c r="E347" s="35">
        <v>69</v>
      </c>
    </row>
    <row r="348" spans="1:5" x14ac:dyDescent="0.35">
      <c r="A348" s="21">
        <v>77010000142</v>
      </c>
      <c r="B348" s="21">
        <v>3</v>
      </c>
      <c r="C348" s="22" t="s">
        <v>12</v>
      </c>
      <c r="D348" s="21">
        <v>40.49</v>
      </c>
      <c r="E348" s="35">
        <v>95</v>
      </c>
    </row>
    <row r="349" spans="1:5" x14ac:dyDescent="0.35">
      <c r="A349" s="21">
        <v>77010000150</v>
      </c>
      <c r="B349" s="21">
        <v>4</v>
      </c>
      <c r="C349" s="22" t="s">
        <v>12</v>
      </c>
      <c r="D349" s="21">
        <v>3.25</v>
      </c>
      <c r="E349" s="35">
        <v>8</v>
      </c>
    </row>
    <row r="350" spans="1:5" x14ac:dyDescent="0.35">
      <c r="A350" s="21">
        <v>77010000148</v>
      </c>
      <c r="B350" s="21">
        <v>4</v>
      </c>
      <c r="C350" s="22" t="s">
        <v>12</v>
      </c>
      <c r="D350" s="21">
        <v>5.69</v>
      </c>
      <c r="E350" s="35">
        <v>14</v>
      </c>
    </row>
    <row r="351" spans="1:5" x14ac:dyDescent="0.35">
      <c r="A351" s="21">
        <v>77010000150</v>
      </c>
      <c r="B351" s="21">
        <v>4</v>
      </c>
      <c r="C351" s="22" t="s">
        <v>12</v>
      </c>
      <c r="D351" s="21">
        <v>5.69</v>
      </c>
      <c r="E351" s="35">
        <v>14</v>
      </c>
    </row>
    <row r="352" spans="1:5" x14ac:dyDescent="0.35">
      <c r="A352" s="21">
        <v>77010000147</v>
      </c>
      <c r="B352" s="21">
        <v>4</v>
      </c>
      <c r="C352" s="22" t="s">
        <v>12</v>
      </c>
      <c r="D352" s="21">
        <v>6.5</v>
      </c>
      <c r="E352" s="35">
        <v>16</v>
      </c>
    </row>
    <row r="353" spans="1:5" x14ac:dyDescent="0.35">
      <c r="A353" s="21">
        <v>77010000149</v>
      </c>
      <c r="B353" s="21">
        <v>4</v>
      </c>
      <c r="C353" s="22" t="s">
        <v>12</v>
      </c>
      <c r="D353" s="21">
        <v>6.5</v>
      </c>
      <c r="E353" s="35">
        <v>16</v>
      </c>
    </row>
    <row r="354" spans="1:5" x14ac:dyDescent="0.35">
      <c r="A354" s="21">
        <v>77010000151</v>
      </c>
      <c r="B354" s="21">
        <v>4</v>
      </c>
      <c r="C354" s="22" t="s">
        <v>12</v>
      </c>
      <c r="D354" s="21">
        <v>8.5299999999999994</v>
      </c>
      <c r="E354" s="35">
        <v>21</v>
      </c>
    </row>
    <row r="355" spans="1:5" x14ac:dyDescent="0.35">
      <c r="A355" s="21">
        <v>77010000152</v>
      </c>
      <c r="B355" s="21">
        <v>4</v>
      </c>
      <c r="C355" s="22" t="s">
        <v>12</v>
      </c>
      <c r="D355" s="21">
        <v>8.5299999999999994</v>
      </c>
      <c r="E355" s="35">
        <v>21</v>
      </c>
    </row>
    <row r="356" spans="1:5" x14ac:dyDescent="0.35">
      <c r="A356" s="21">
        <v>77010000154</v>
      </c>
      <c r="B356" s="21">
        <v>4</v>
      </c>
      <c r="C356" s="22" t="s">
        <v>12</v>
      </c>
      <c r="D356" s="21">
        <v>9.75</v>
      </c>
      <c r="E356" s="35">
        <v>24</v>
      </c>
    </row>
    <row r="357" spans="1:5" x14ac:dyDescent="0.35">
      <c r="A357" s="21">
        <v>77010000148</v>
      </c>
      <c r="B357" s="21">
        <v>4</v>
      </c>
      <c r="C357" s="22" t="s">
        <v>12</v>
      </c>
      <c r="D357" s="21">
        <v>9.75</v>
      </c>
      <c r="E357" s="35">
        <v>24</v>
      </c>
    </row>
    <row r="358" spans="1:5" x14ac:dyDescent="0.35">
      <c r="A358" s="21">
        <v>77010000149</v>
      </c>
      <c r="B358" s="21">
        <v>4</v>
      </c>
      <c r="C358" s="22" t="s">
        <v>12</v>
      </c>
      <c r="D358" s="21">
        <v>9.75</v>
      </c>
      <c r="E358" s="35">
        <v>24</v>
      </c>
    </row>
    <row r="359" spans="1:5" x14ac:dyDescent="0.35">
      <c r="A359" s="21">
        <v>77010000150</v>
      </c>
      <c r="B359" s="21">
        <v>4</v>
      </c>
      <c r="C359" s="22" t="s">
        <v>12</v>
      </c>
      <c r="D359" s="21">
        <v>12.19</v>
      </c>
      <c r="E359" s="35">
        <v>30</v>
      </c>
    </row>
    <row r="360" spans="1:5" x14ac:dyDescent="0.35">
      <c r="A360" s="21">
        <v>77010000151</v>
      </c>
      <c r="B360" s="21">
        <v>4</v>
      </c>
      <c r="C360" s="22" t="s">
        <v>12</v>
      </c>
      <c r="D360" s="21">
        <v>18.29</v>
      </c>
      <c r="E360" s="35">
        <v>45</v>
      </c>
    </row>
    <row r="361" spans="1:5" x14ac:dyDescent="0.35">
      <c r="A361" s="21">
        <v>77010000153</v>
      </c>
      <c r="B361" s="21">
        <v>4</v>
      </c>
      <c r="C361" s="22" t="s">
        <v>12</v>
      </c>
      <c r="D361" s="21">
        <v>18.690000000000001</v>
      </c>
      <c r="E361" s="35">
        <v>46</v>
      </c>
    </row>
    <row r="362" spans="1:5" x14ac:dyDescent="0.35">
      <c r="A362" s="21">
        <v>77010000174</v>
      </c>
      <c r="B362" s="21">
        <v>5</v>
      </c>
      <c r="C362" s="22" t="s">
        <v>12</v>
      </c>
      <c r="D362" s="21">
        <v>0</v>
      </c>
      <c r="E362" s="35">
        <v>0</v>
      </c>
    </row>
    <row r="363" spans="1:5" x14ac:dyDescent="0.35">
      <c r="A363" s="21">
        <v>77010000181</v>
      </c>
      <c r="B363" s="21">
        <v>5</v>
      </c>
      <c r="C363" s="22" t="s">
        <v>12</v>
      </c>
      <c r="D363" s="21">
        <v>0</v>
      </c>
      <c r="E363" s="35">
        <v>0</v>
      </c>
    </row>
    <row r="364" spans="1:5" x14ac:dyDescent="0.35">
      <c r="A364" s="21">
        <v>77010000162</v>
      </c>
      <c r="B364" s="21">
        <v>5</v>
      </c>
      <c r="C364" s="22" t="s">
        <v>12</v>
      </c>
      <c r="D364" s="21">
        <v>0.43</v>
      </c>
      <c r="E364" s="35">
        <v>1</v>
      </c>
    </row>
    <row r="365" spans="1:5" x14ac:dyDescent="0.35">
      <c r="A365" s="21">
        <v>77010000165</v>
      </c>
      <c r="B365" s="21">
        <v>5</v>
      </c>
      <c r="C365" s="22" t="s">
        <v>12</v>
      </c>
      <c r="D365" s="21">
        <v>0.43</v>
      </c>
      <c r="E365" s="35">
        <v>1</v>
      </c>
    </row>
    <row r="366" spans="1:5" x14ac:dyDescent="0.35">
      <c r="A366" s="21">
        <v>77010000166</v>
      </c>
      <c r="B366" s="21">
        <v>5</v>
      </c>
      <c r="C366" s="22" t="s">
        <v>13</v>
      </c>
      <c r="D366" s="21">
        <v>7.43</v>
      </c>
      <c r="E366" s="35">
        <v>1</v>
      </c>
    </row>
    <row r="367" spans="1:5" x14ac:dyDescent="0.35">
      <c r="A367" s="21">
        <v>77010000170</v>
      </c>
      <c r="B367" s="21">
        <v>5</v>
      </c>
      <c r="C367" s="22" t="s">
        <v>12</v>
      </c>
      <c r="D367" s="21">
        <v>0.43</v>
      </c>
      <c r="E367" s="35">
        <v>1</v>
      </c>
    </row>
    <row r="368" spans="1:5" x14ac:dyDescent="0.35">
      <c r="A368" s="21">
        <v>77010000175</v>
      </c>
      <c r="B368" s="21">
        <v>5</v>
      </c>
      <c r="C368" s="22" t="s">
        <v>12</v>
      </c>
      <c r="D368" s="21">
        <v>0.43</v>
      </c>
      <c r="E368" s="35">
        <v>1</v>
      </c>
    </row>
    <row r="369" spans="1:8" x14ac:dyDescent="0.35">
      <c r="A369" s="21">
        <v>77010000182</v>
      </c>
      <c r="B369" s="21">
        <v>5</v>
      </c>
      <c r="C369" s="22" t="s">
        <v>12</v>
      </c>
      <c r="D369" s="21">
        <v>0.43</v>
      </c>
      <c r="E369" s="35">
        <v>1</v>
      </c>
    </row>
    <row r="370" spans="1:8" x14ac:dyDescent="0.35">
      <c r="A370" s="21">
        <v>77010000187</v>
      </c>
      <c r="B370" s="21">
        <v>5</v>
      </c>
      <c r="C370" s="22" t="s">
        <v>12</v>
      </c>
      <c r="D370" s="21">
        <v>0.43</v>
      </c>
      <c r="E370" s="35">
        <v>1</v>
      </c>
    </row>
    <row r="371" spans="1:8" x14ac:dyDescent="0.35">
      <c r="A371" s="21">
        <v>77010000193</v>
      </c>
      <c r="B371" s="21">
        <v>5</v>
      </c>
      <c r="C371" s="22" t="s">
        <v>12</v>
      </c>
      <c r="D371" s="21">
        <v>0.43</v>
      </c>
      <c r="E371" s="35">
        <v>1</v>
      </c>
    </row>
    <row r="372" spans="1:8" x14ac:dyDescent="0.35">
      <c r="A372" s="21">
        <v>77010000195</v>
      </c>
      <c r="B372" s="21">
        <v>5</v>
      </c>
      <c r="C372" s="22" t="s">
        <v>12</v>
      </c>
      <c r="D372" s="21">
        <v>0.43</v>
      </c>
      <c r="E372" s="35">
        <v>1</v>
      </c>
    </row>
    <row r="373" spans="1:8" x14ac:dyDescent="0.35">
      <c r="A373" s="21">
        <v>77010000198</v>
      </c>
      <c r="B373" s="21">
        <v>5</v>
      </c>
      <c r="C373" s="22" t="s">
        <v>12</v>
      </c>
      <c r="D373" s="21">
        <v>0.43</v>
      </c>
      <c r="E373" s="35">
        <v>1</v>
      </c>
    </row>
    <row r="374" spans="1:8" x14ac:dyDescent="0.35">
      <c r="A374" s="21">
        <v>77010000171</v>
      </c>
      <c r="B374" s="21">
        <v>5</v>
      </c>
      <c r="C374" s="22" t="s">
        <v>12</v>
      </c>
      <c r="D374" s="21">
        <v>0</v>
      </c>
      <c r="E374" s="35">
        <v>1</v>
      </c>
    </row>
    <row r="375" spans="1:8" x14ac:dyDescent="0.35">
      <c r="A375" s="21">
        <v>77010000173</v>
      </c>
      <c r="B375" s="21">
        <v>5</v>
      </c>
      <c r="C375" s="22" t="s">
        <v>12</v>
      </c>
      <c r="D375" s="21">
        <v>0.43</v>
      </c>
      <c r="E375" s="35">
        <v>1</v>
      </c>
    </row>
    <row r="376" spans="1:8" x14ac:dyDescent="0.35">
      <c r="A376" s="21">
        <v>77010000185</v>
      </c>
      <c r="B376" s="21">
        <v>5</v>
      </c>
      <c r="C376" s="22" t="s">
        <v>12</v>
      </c>
      <c r="D376" s="21">
        <v>0.43</v>
      </c>
      <c r="E376" s="35">
        <v>1</v>
      </c>
    </row>
    <row r="377" spans="1:8" x14ac:dyDescent="0.35">
      <c r="A377" s="21">
        <v>77010000193</v>
      </c>
      <c r="B377" s="21">
        <v>5</v>
      </c>
      <c r="C377" s="22" t="s">
        <v>13</v>
      </c>
      <c r="D377" s="21">
        <v>7.43</v>
      </c>
      <c r="E377" s="35">
        <v>1</v>
      </c>
    </row>
    <row r="378" spans="1:8" x14ac:dyDescent="0.35">
      <c r="A378" s="21">
        <v>77010000205</v>
      </c>
      <c r="B378" s="21">
        <v>5</v>
      </c>
      <c r="C378" s="22" t="s">
        <v>12</v>
      </c>
      <c r="D378" s="21">
        <v>0.43</v>
      </c>
      <c r="E378" s="35">
        <v>1</v>
      </c>
    </row>
    <row r="379" spans="1:8" x14ac:dyDescent="0.35">
      <c r="A379" s="21">
        <v>77010000192</v>
      </c>
      <c r="B379" s="21">
        <v>5</v>
      </c>
      <c r="C379" s="22" t="s">
        <v>12</v>
      </c>
      <c r="D379" s="21">
        <v>0.43</v>
      </c>
      <c r="E379" s="35">
        <v>1</v>
      </c>
    </row>
    <row r="380" spans="1:8" x14ac:dyDescent="0.35">
      <c r="A380" s="21">
        <v>77010000224</v>
      </c>
      <c r="B380" s="21">
        <v>5</v>
      </c>
      <c r="C380" s="22" t="s">
        <v>12</v>
      </c>
      <c r="D380" s="21">
        <v>0.43</v>
      </c>
      <c r="E380" s="35">
        <v>1</v>
      </c>
      <c r="H380" s="2"/>
    </row>
    <row r="381" spans="1:8" x14ac:dyDescent="0.35">
      <c r="A381" s="21">
        <v>77010000227</v>
      </c>
      <c r="B381" s="21">
        <v>5</v>
      </c>
      <c r="C381" s="22" t="s">
        <v>12</v>
      </c>
      <c r="D381" s="21">
        <v>0.43</v>
      </c>
      <c r="E381" s="35">
        <v>1</v>
      </c>
    </row>
    <row r="382" spans="1:8" x14ac:dyDescent="0.35">
      <c r="A382" s="21">
        <v>77010000209</v>
      </c>
      <c r="B382" s="21">
        <v>5</v>
      </c>
      <c r="C382" s="22" t="s">
        <v>12</v>
      </c>
      <c r="D382" s="21">
        <v>0.43</v>
      </c>
      <c r="E382" s="35">
        <v>1</v>
      </c>
    </row>
    <row r="383" spans="1:8" x14ac:dyDescent="0.35">
      <c r="A383" s="21">
        <v>77010000216</v>
      </c>
      <c r="B383" s="21">
        <v>5</v>
      </c>
      <c r="C383" s="22" t="s">
        <v>12</v>
      </c>
      <c r="D383" s="21">
        <v>0.43</v>
      </c>
      <c r="E383" s="35">
        <v>1</v>
      </c>
    </row>
    <row r="384" spans="1:8" x14ac:dyDescent="0.35">
      <c r="A384" s="21">
        <v>77010000236</v>
      </c>
      <c r="B384" s="21">
        <v>5</v>
      </c>
      <c r="C384" s="22" t="s">
        <v>12</v>
      </c>
      <c r="D384" s="21">
        <v>0.43</v>
      </c>
      <c r="E384" s="35">
        <v>1</v>
      </c>
    </row>
    <row r="385" spans="1:5" x14ac:dyDescent="0.35">
      <c r="A385" s="21">
        <v>77010000235</v>
      </c>
      <c r="B385" s="21">
        <v>5</v>
      </c>
      <c r="C385" s="22" t="s">
        <v>12</v>
      </c>
      <c r="D385" s="21">
        <v>0.43</v>
      </c>
      <c r="E385" s="35">
        <v>1</v>
      </c>
    </row>
    <row r="386" spans="1:5" x14ac:dyDescent="0.35">
      <c r="A386" s="21">
        <v>77010000165</v>
      </c>
      <c r="B386" s="21">
        <v>5</v>
      </c>
      <c r="C386" s="22" t="s">
        <v>12</v>
      </c>
      <c r="D386" s="21">
        <v>0.85</v>
      </c>
      <c r="E386" s="35">
        <v>2</v>
      </c>
    </row>
    <row r="387" spans="1:5" x14ac:dyDescent="0.35">
      <c r="A387" s="21">
        <v>77010000163</v>
      </c>
      <c r="B387" s="21">
        <v>5</v>
      </c>
      <c r="C387" s="22" t="s">
        <v>14</v>
      </c>
      <c r="D387" s="21">
        <v>7.43</v>
      </c>
      <c r="E387" s="35">
        <v>2</v>
      </c>
    </row>
    <row r="388" spans="1:5" x14ac:dyDescent="0.35">
      <c r="A388" s="21">
        <v>77010000173</v>
      </c>
      <c r="B388" s="21">
        <v>5</v>
      </c>
      <c r="C388" s="22" t="s">
        <v>12</v>
      </c>
      <c r="D388" s="21">
        <v>0.85</v>
      </c>
      <c r="E388" s="35">
        <v>2</v>
      </c>
    </row>
    <row r="389" spans="1:5" x14ac:dyDescent="0.35">
      <c r="A389" s="21">
        <v>77010000177</v>
      </c>
      <c r="B389" s="21">
        <v>5</v>
      </c>
      <c r="C389" s="22" t="s">
        <v>12</v>
      </c>
      <c r="D389" s="21">
        <v>0.85</v>
      </c>
      <c r="E389" s="35">
        <v>2</v>
      </c>
    </row>
    <row r="390" spans="1:5" x14ac:dyDescent="0.35">
      <c r="A390" s="21">
        <v>77010000186</v>
      </c>
      <c r="B390" s="21">
        <v>5</v>
      </c>
      <c r="C390" s="22" t="s">
        <v>12</v>
      </c>
      <c r="D390" s="21">
        <v>0.85</v>
      </c>
      <c r="E390" s="35">
        <v>2</v>
      </c>
    </row>
    <row r="391" spans="1:5" x14ac:dyDescent="0.35">
      <c r="A391" s="21">
        <v>77010000189</v>
      </c>
      <c r="B391" s="21">
        <v>5</v>
      </c>
      <c r="C391" s="22" t="s">
        <v>12</v>
      </c>
      <c r="D391" s="21">
        <v>0.85</v>
      </c>
      <c r="E391" s="35">
        <v>2</v>
      </c>
    </row>
    <row r="392" spans="1:5" x14ac:dyDescent="0.35">
      <c r="A392" s="21">
        <v>77010000187</v>
      </c>
      <c r="B392" s="21">
        <v>5</v>
      </c>
      <c r="C392" s="22" t="s">
        <v>12</v>
      </c>
      <c r="D392" s="21">
        <v>0.85</v>
      </c>
      <c r="E392" s="35">
        <v>2</v>
      </c>
    </row>
    <row r="393" spans="1:5" x14ac:dyDescent="0.35">
      <c r="A393" s="21">
        <v>77010000192</v>
      </c>
      <c r="B393" s="21">
        <v>5</v>
      </c>
      <c r="C393" s="22" t="s">
        <v>12</v>
      </c>
      <c r="D393" s="21">
        <v>0.85</v>
      </c>
      <c r="E393" s="35">
        <v>2</v>
      </c>
    </row>
    <row r="394" spans="1:5" x14ac:dyDescent="0.35">
      <c r="A394" s="21">
        <v>77010000237</v>
      </c>
      <c r="B394" s="21">
        <v>5</v>
      </c>
      <c r="C394" s="22" t="s">
        <v>12</v>
      </c>
      <c r="D394" s="21">
        <v>0.85</v>
      </c>
      <c r="E394" s="35">
        <v>2</v>
      </c>
    </row>
    <row r="395" spans="1:5" x14ac:dyDescent="0.35">
      <c r="A395" s="21">
        <v>77010000237</v>
      </c>
      <c r="B395" s="21">
        <v>5</v>
      </c>
      <c r="C395" s="22" t="s">
        <v>12</v>
      </c>
      <c r="D395" s="21">
        <v>0.85</v>
      </c>
      <c r="E395" s="35">
        <v>2</v>
      </c>
    </row>
    <row r="396" spans="1:5" x14ac:dyDescent="0.35">
      <c r="A396" s="21">
        <v>77010000168</v>
      </c>
      <c r="B396" s="21">
        <v>5</v>
      </c>
      <c r="C396" s="22" t="s">
        <v>12</v>
      </c>
      <c r="D396" s="21">
        <v>1.28</v>
      </c>
      <c r="E396" s="35">
        <v>3</v>
      </c>
    </row>
    <row r="397" spans="1:5" x14ac:dyDescent="0.35">
      <c r="A397" s="21">
        <v>77010000171</v>
      </c>
      <c r="B397" s="21">
        <v>5</v>
      </c>
      <c r="C397" s="22" t="s">
        <v>12</v>
      </c>
      <c r="D397" s="21">
        <v>1.28</v>
      </c>
      <c r="E397" s="35">
        <v>3</v>
      </c>
    </row>
    <row r="398" spans="1:5" x14ac:dyDescent="0.35">
      <c r="A398" s="21">
        <v>77010000185</v>
      </c>
      <c r="B398" s="21">
        <v>5</v>
      </c>
      <c r="C398" s="22" t="s">
        <v>12</v>
      </c>
      <c r="D398" s="21">
        <v>1.28</v>
      </c>
      <c r="E398" s="35">
        <v>3</v>
      </c>
    </row>
    <row r="399" spans="1:5" x14ac:dyDescent="0.35">
      <c r="A399" s="21">
        <v>77010000199</v>
      </c>
      <c r="B399" s="21">
        <v>5</v>
      </c>
      <c r="C399" s="22" t="s">
        <v>12</v>
      </c>
      <c r="D399" s="21">
        <v>1.28</v>
      </c>
      <c r="E399" s="35">
        <v>3</v>
      </c>
    </row>
    <row r="400" spans="1:5" x14ac:dyDescent="0.35">
      <c r="A400" s="21">
        <v>77010000223</v>
      </c>
      <c r="B400" s="21">
        <v>5</v>
      </c>
      <c r="C400" s="22" t="s">
        <v>12</v>
      </c>
      <c r="D400" s="21">
        <v>1.28</v>
      </c>
      <c r="E400" s="35">
        <v>3</v>
      </c>
    </row>
    <row r="401" spans="1:5" x14ac:dyDescent="0.35">
      <c r="A401" s="21">
        <v>77010000234</v>
      </c>
      <c r="B401" s="21">
        <v>5</v>
      </c>
      <c r="C401" s="22" t="s">
        <v>12</v>
      </c>
      <c r="D401" s="21">
        <v>0</v>
      </c>
      <c r="E401" s="35">
        <v>3</v>
      </c>
    </row>
    <row r="402" spans="1:5" x14ac:dyDescent="0.35">
      <c r="A402" s="21">
        <v>77010000164</v>
      </c>
      <c r="B402" s="21">
        <v>5</v>
      </c>
      <c r="C402" s="22" t="s">
        <v>12</v>
      </c>
      <c r="D402" s="21">
        <v>1.7</v>
      </c>
      <c r="E402" s="35">
        <v>4</v>
      </c>
    </row>
    <row r="403" spans="1:5" x14ac:dyDescent="0.35">
      <c r="A403" s="21">
        <v>77010000164</v>
      </c>
      <c r="B403" s="21">
        <v>5</v>
      </c>
      <c r="C403" s="22" t="s">
        <v>12</v>
      </c>
      <c r="D403" s="21">
        <v>1.7</v>
      </c>
      <c r="E403" s="35">
        <v>4</v>
      </c>
    </row>
    <row r="404" spans="1:5" x14ac:dyDescent="0.35">
      <c r="A404" s="21">
        <v>77010000169</v>
      </c>
      <c r="B404" s="21">
        <v>5</v>
      </c>
      <c r="C404" s="22" t="s">
        <v>12</v>
      </c>
      <c r="D404" s="21">
        <v>1.7</v>
      </c>
      <c r="E404" s="35">
        <v>4</v>
      </c>
    </row>
    <row r="405" spans="1:5" x14ac:dyDescent="0.35">
      <c r="A405" s="21">
        <v>77010000172</v>
      </c>
      <c r="B405" s="21">
        <v>5</v>
      </c>
      <c r="C405" s="22" t="s">
        <v>12</v>
      </c>
      <c r="D405" s="21">
        <v>1.7</v>
      </c>
      <c r="E405" s="35">
        <v>4</v>
      </c>
    </row>
    <row r="406" spans="1:5" x14ac:dyDescent="0.35">
      <c r="A406" s="21">
        <v>77010000180</v>
      </c>
      <c r="B406" s="21">
        <v>5</v>
      </c>
      <c r="C406" s="22" t="s">
        <v>12</v>
      </c>
      <c r="D406" s="21">
        <v>1.7</v>
      </c>
      <c r="E406" s="35">
        <v>4</v>
      </c>
    </row>
    <row r="407" spans="1:5" x14ac:dyDescent="0.35">
      <c r="A407" s="21">
        <v>77010000191</v>
      </c>
      <c r="B407" s="21">
        <v>5</v>
      </c>
      <c r="C407" s="22" t="s">
        <v>13</v>
      </c>
      <c r="D407" s="21">
        <v>7.43</v>
      </c>
      <c r="E407" s="35">
        <v>4</v>
      </c>
    </row>
    <row r="408" spans="1:5" x14ac:dyDescent="0.35">
      <c r="A408" s="21">
        <v>77010000196</v>
      </c>
      <c r="B408" s="21">
        <v>5</v>
      </c>
      <c r="C408" s="22" t="s">
        <v>12</v>
      </c>
      <c r="D408" s="21">
        <v>1.7</v>
      </c>
      <c r="E408" s="35">
        <v>4</v>
      </c>
    </row>
    <row r="409" spans="1:5" x14ac:dyDescent="0.35">
      <c r="A409" s="21">
        <v>77010000169</v>
      </c>
      <c r="B409" s="21">
        <v>5</v>
      </c>
      <c r="C409" s="22" t="s">
        <v>12</v>
      </c>
      <c r="D409" s="21">
        <v>1.7</v>
      </c>
      <c r="E409" s="35">
        <v>4</v>
      </c>
    </row>
    <row r="410" spans="1:5" x14ac:dyDescent="0.35">
      <c r="A410" s="21">
        <v>77010000195</v>
      </c>
      <c r="B410" s="21">
        <v>5</v>
      </c>
      <c r="C410" s="22" t="s">
        <v>12</v>
      </c>
      <c r="D410" s="21">
        <v>1.7</v>
      </c>
      <c r="E410" s="35">
        <v>4</v>
      </c>
    </row>
    <row r="411" spans="1:5" x14ac:dyDescent="0.35">
      <c r="A411" s="21">
        <v>77010000162</v>
      </c>
      <c r="B411" s="21">
        <v>5</v>
      </c>
      <c r="C411" s="22" t="s">
        <v>12</v>
      </c>
      <c r="D411" s="21">
        <v>2.13</v>
      </c>
      <c r="E411" s="35">
        <v>5</v>
      </c>
    </row>
    <row r="412" spans="1:5" x14ac:dyDescent="0.35">
      <c r="A412" s="21">
        <v>77010000167</v>
      </c>
      <c r="B412" s="21">
        <v>5</v>
      </c>
      <c r="C412" s="22" t="s">
        <v>12</v>
      </c>
      <c r="D412" s="21">
        <v>2.13</v>
      </c>
      <c r="E412" s="35">
        <v>5</v>
      </c>
    </row>
    <row r="413" spans="1:5" x14ac:dyDescent="0.35">
      <c r="A413" s="21">
        <v>77010000200</v>
      </c>
      <c r="B413" s="21">
        <v>5</v>
      </c>
      <c r="C413" s="22" t="s">
        <v>12</v>
      </c>
      <c r="D413" s="21">
        <v>2.13</v>
      </c>
      <c r="E413" s="35">
        <v>5</v>
      </c>
    </row>
    <row r="414" spans="1:5" x14ac:dyDescent="0.35">
      <c r="A414" s="21">
        <v>77010000184</v>
      </c>
      <c r="B414" s="21">
        <v>5</v>
      </c>
      <c r="C414" s="22" t="s">
        <v>12</v>
      </c>
      <c r="D414" s="21">
        <v>2.13</v>
      </c>
      <c r="E414" s="35">
        <v>5</v>
      </c>
    </row>
    <row r="415" spans="1:5" x14ac:dyDescent="0.35">
      <c r="A415" s="21">
        <v>77010000177</v>
      </c>
      <c r="B415" s="21">
        <v>5</v>
      </c>
      <c r="C415" s="22" t="s">
        <v>12</v>
      </c>
      <c r="D415" s="21">
        <v>2.13</v>
      </c>
      <c r="E415" s="35">
        <v>5</v>
      </c>
    </row>
    <row r="416" spans="1:5" x14ac:dyDescent="0.35">
      <c r="A416" s="21">
        <v>77010000193</v>
      </c>
      <c r="B416" s="21">
        <v>5</v>
      </c>
      <c r="C416" s="22" t="s">
        <v>12</v>
      </c>
      <c r="D416" s="21">
        <v>2.13</v>
      </c>
      <c r="E416" s="35">
        <v>5</v>
      </c>
    </row>
    <row r="417" spans="1:5" x14ac:dyDescent="0.35">
      <c r="A417" s="21">
        <v>77010000212</v>
      </c>
      <c r="B417" s="21">
        <v>5</v>
      </c>
      <c r="C417" s="22" t="s">
        <v>12</v>
      </c>
      <c r="D417" s="21">
        <v>2.13</v>
      </c>
      <c r="E417" s="35">
        <v>5</v>
      </c>
    </row>
    <row r="418" spans="1:5" x14ac:dyDescent="0.35">
      <c r="A418" s="21">
        <v>77010000235</v>
      </c>
      <c r="B418" s="21">
        <v>5</v>
      </c>
      <c r="C418" s="22" t="s">
        <v>12</v>
      </c>
      <c r="D418" s="21">
        <v>2.13</v>
      </c>
      <c r="E418" s="35">
        <v>5</v>
      </c>
    </row>
    <row r="419" spans="1:5" x14ac:dyDescent="0.35">
      <c r="A419" s="21">
        <v>77010000163</v>
      </c>
      <c r="B419" s="21">
        <v>5</v>
      </c>
      <c r="C419" s="22" t="s">
        <v>12</v>
      </c>
      <c r="D419" s="21">
        <v>2.56</v>
      </c>
      <c r="E419" s="35">
        <v>6</v>
      </c>
    </row>
    <row r="420" spans="1:5" x14ac:dyDescent="0.35">
      <c r="A420" s="21">
        <v>77010000170</v>
      </c>
      <c r="B420" s="21">
        <v>5</v>
      </c>
      <c r="C420" s="22" t="s">
        <v>12</v>
      </c>
      <c r="D420" s="21">
        <v>2.56</v>
      </c>
      <c r="E420" s="35">
        <v>6</v>
      </c>
    </row>
    <row r="421" spans="1:5" x14ac:dyDescent="0.35">
      <c r="A421" s="21">
        <v>77010000183</v>
      </c>
      <c r="B421" s="21">
        <v>5</v>
      </c>
      <c r="C421" s="22" t="s">
        <v>12</v>
      </c>
      <c r="D421" s="21">
        <v>2.56</v>
      </c>
      <c r="E421" s="35">
        <v>6</v>
      </c>
    </row>
    <row r="422" spans="1:5" x14ac:dyDescent="0.35">
      <c r="A422" s="21">
        <v>77010000190</v>
      </c>
      <c r="B422" s="21">
        <v>5</v>
      </c>
      <c r="C422" s="22" t="s">
        <v>12</v>
      </c>
      <c r="D422" s="21">
        <v>2.56</v>
      </c>
      <c r="E422" s="35">
        <v>6</v>
      </c>
    </row>
    <row r="423" spans="1:5" x14ac:dyDescent="0.35">
      <c r="A423" s="21">
        <v>77010000204</v>
      </c>
      <c r="B423" s="21">
        <v>5</v>
      </c>
      <c r="C423" s="22" t="s">
        <v>12</v>
      </c>
      <c r="D423" s="21">
        <v>0</v>
      </c>
      <c r="E423" s="35">
        <v>6</v>
      </c>
    </row>
    <row r="424" spans="1:5" x14ac:dyDescent="0.35">
      <c r="A424" s="21">
        <v>77010000182</v>
      </c>
      <c r="B424" s="21">
        <v>5</v>
      </c>
      <c r="C424" s="22" t="s">
        <v>12</v>
      </c>
      <c r="D424" s="21">
        <v>2.56</v>
      </c>
      <c r="E424" s="35">
        <v>6</v>
      </c>
    </row>
    <row r="425" spans="1:5" x14ac:dyDescent="0.35">
      <c r="A425" s="21">
        <v>77010000183</v>
      </c>
      <c r="B425" s="21">
        <v>5</v>
      </c>
      <c r="C425" s="22" t="s">
        <v>12</v>
      </c>
      <c r="D425" s="21">
        <v>2.56</v>
      </c>
      <c r="E425" s="35">
        <v>6</v>
      </c>
    </row>
    <row r="426" spans="1:5" x14ac:dyDescent="0.35">
      <c r="A426" s="21">
        <v>77010000190</v>
      </c>
      <c r="B426" s="21">
        <v>5</v>
      </c>
      <c r="C426" s="22" t="s">
        <v>12</v>
      </c>
      <c r="D426" s="21">
        <v>2.56</v>
      </c>
      <c r="E426" s="35">
        <v>6</v>
      </c>
    </row>
    <row r="427" spans="1:5" x14ac:dyDescent="0.35">
      <c r="A427" s="21">
        <v>77010000219</v>
      </c>
      <c r="B427" s="21">
        <v>5</v>
      </c>
      <c r="C427" s="22" t="s">
        <v>12</v>
      </c>
      <c r="D427" s="21">
        <v>2.56</v>
      </c>
      <c r="E427" s="35">
        <v>6</v>
      </c>
    </row>
    <row r="428" spans="1:5" x14ac:dyDescent="0.35">
      <c r="A428" s="21">
        <v>77010000178</v>
      </c>
      <c r="B428" s="21">
        <v>5</v>
      </c>
      <c r="C428" s="22" t="s">
        <v>12</v>
      </c>
      <c r="D428" s="21">
        <v>2.98</v>
      </c>
      <c r="E428" s="35">
        <v>7</v>
      </c>
    </row>
    <row r="429" spans="1:5" x14ac:dyDescent="0.35">
      <c r="A429" s="21">
        <v>77010000188</v>
      </c>
      <c r="B429" s="21">
        <v>5</v>
      </c>
      <c r="C429" s="22" t="s">
        <v>12</v>
      </c>
      <c r="D429" s="21">
        <v>2.98</v>
      </c>
      <c r="E429" s="35">
        <v>7</v>
      </c>
    </row>
    <row r="430" spans="1:5" x14ac:dyDescent="0.35">
      <c r="A430" s="21">
        <v>77010000190</v>
      </c>
      <c r="B430" s="21">
        <v>5</v>
      </c>
      <c r="C430" s="22" t="s">
        <v>12</v>
      </c>
      <c r="D430" s="21">
        <v>2.98</v>
      </c>
      <c r="E430" s="35">
        <v>7</v>
      </c>
    </row>
    <row r="431" spans="1:5" x14ac:dyDescent="0.35">
      <c r="A431" s="21">
        <v>77010000172</v>
      </c>
      <c r="B431" s="21">
        <v>5</v>
      </c>
      <c r="C431" s="22" t="s">
        <v>12</v>
      </c>
      <c r="D431" s="21">
        <v>2.98</v>
      </c>
      <c r="E431" s="35">
        <v>7</v>
      </c>
    </row>
    <row r="432" spans="1:5" x14ac:dyDescent="0.35">
      <c r="A432" s="21">
        <v>77010000175</v>
      </c>
      <c r="B432" s="21">
        <v>5</v>
      </c>
      <c r="C432" s="22" t="s">
        <v>13</v>
      </c>
      <c r="D432" s="21">
        <v>7.43</v>
      </c>
      <c r="E432" s="35">
        <v>7</v>
      </c>
    </row>
    <row r="433" spans="1:5" x14ac:dyDescent="0.35">
      <c r="A433" s="21">
        <v>77010000180</v>
      </c>
      <c r="B433" s="21">
        <v>5</v>
      </c>
      <c r="C433" s="22" t="s">
        <v>12</v>
      </c>
      <c r="D433" s="21">
        <v>2.98</v>
      </c>
      <c r="E433" s="35">
        <v>7</v>
      </c>
    </row>
    <row r="434" spans="1:5" x14ac:dyDescent="0.35">
      <c r="A434" s="21">
        <v>77010000189</v>
      </c>
      <c r="B434" s="21">
        <v>5</v>
      </c>
      <c r="C434" s="22" t="s">
        <v>12</v>
      </c>
      <c r="D434" s="21">
        <v>2.98</v>
      </c>
      <c r="E434" s="35">
        <v>7</v>
      </c>
    </row>
    <row r="435" spans="1:5" x14ac:dyDescent="0.35">
      <c r="A435" s="21">
        <v>77010000191</v>
      </c>
      <c r="B435" s="21">
        <v>5</v>
      </c>
      <c r="C435" s="22" t="s">
        <v>12</v>
      </c>
      <c r="D435" s="21">
        <v>2.98</v>
      </c>
      <c r="E435" s="35">
        <v>7</v>
      </c>
    </row>
    <row r="436" spans="1:5" x14ac:dyDescent="0.35">
      <c r="A436" s="21">
        <v>77010000221</v>
      </c>
      <c r="B436" s="21">
        <v>5</v>
      </c>
      <c r="C436" s="22" t="s">
        <v>12</v>
      </c>
      <c r="D436" s="21">
        <v>2.98</v>
      </c>
      <c r="E436" s="35">
        <v>7</v>
      </c>
    </row>
    <row r="437" spans="1:5" x14ac:dyDescent="0.35">
      <c r="A437" s="21">
        <v>77010000166</v>
      </c>
      <c r="B437" s="21">
        <v>5</v>
      </c>
      <c r="C437" s="22" t="s">
        <v>12</v>
      </c>
      <c r="D437" s="21">
        <v>3.41</v>
      </c>
      <c r="E437" s="35">
        <v>8</v>
      </c>
    </row>
    <row r="438" spans="1:5" x14ac:dyDescent="0.35">
      <c r="A438" s="21">
        <v>77010000176</v>
      </c>
      <c r="B438" s="21">
        <v>5</v>
      </c>
      <c r="C438" s="22" t="s">
        <v>12</v>
      </c>
      <c r="D438" s="21">
        <v>3.41</v>
      </c>
      <c r="E438" s="35">
        <v>8</v>
      </c>
    </row>
    <row r="439" spans="1:5" x14ac:dyDescent="0.35">
      <c r="A439" s="21">
        <v>77010000205</v>
      </c>
      <c r="B439" s="21">
        <v>5</v>
      </c>
      <c r="C439" s="22" t="s">
        <v>12</v>
      </c>
      <c r="D439" s="21">
        <v>3.41</v>
      </c>
      <c r="E439" s="35">
        <v>8</v>
      </c>
    </row>
    <row r="440" spans="1:5" x14ac:dyDescent="0.35">
      <c r="A440" s="21">
        <v>77010000169</v>
      </c>
      <c r="B440" s="21">
        <v>5</v>
      </c>
      <c r="C440" s="22" t="s">
        <v>12</v>
      </c>
      <c r="D440" s="21">
        <v>3.41</v>
      </c>
      <c r="E440" s="35">
        <v>8</v>
      </c>
    </row>
    <row r="441" spans="1:5" x14ac:dyDescent="0.35">
      <c r="A441" s="21">
        <v>77010000171</v>
      </c>
      <c r="B441" s="21">
        <v>5</v>
      </c>
      <c r="C441" s="22" t="s">
        <v>12</v>
      </c>
      <c r="D441" s="21">
        <v>3.41</v>
      </c>
      <c r="E441" s="35">
        <v>8</v>
      </c>
    </row>
    <row r="442" spans="1:5" x14ac:dyDescent="0.35">
      <c r="A442" s="21">
        <v>77010000186</v>
      </c>
      <c r="B442" s="21">
        <v>5</v>
      </c>
      <c r="C442" s="22" t="s">
        <v>12</v>
      </c>
      <c r="D442" s="21">
        <v>3.41</v>
      </c>
      <c r="E442" s="35">
        <v>8</v>
      </c>
    </row>
    <row r="443" spans="1:5" x14ac:dyDescent="0.35">
      <c r="A443" s="21">
        <v>77010000235</v>
      </c>
      <c r="B443" s="21">
        <v>5</v>
      </c>
      <c r="C443" s="22" t="s">
        <v>12</v>
      </c>
      <c r="D443" s="21">
        <v>3.41</v>
      </c>
      <c r="E443" s="35">
        <v>8</v>
      </c>
    </row>
    <row r="444" spans="1:5" x14ac:dyDescent="0.35">
      <c r="A444" s="21">
        <v>77010000218</v>
      </c>
      <c r="B444" s="21">
        <v>5</v>
      </c>
      <c r="C444" s="22" t="s">
        <v>12</v>
      </c>
      <c r="D444" s="21">
        <v>3.41</v>
      </c>
      <c r="E444" s="35">
        <v>8</v>
      </c>
    </row>
    <row r="445" spans="1:5" x14ac:dyDescent="0.35">
      <c r="A445" s="21">
        <v>77010000220</v>
      </c>
      <c r="B445" s="21">
        <v>5</v>
      </c>
      <c r="C445" s="22" t="s">
        <v>12</v>
      </c>
      <c r="D445" s="21">
        <v>3.41</v>
      </c>
      <c r="E445" s="35">
        <v>8</v>
      </c>
    </row>
    <row r="446" spans="1:5" x14ac:dyDescent="0.35">
      <c r="A446" s="21">
        <v>77010000181</v>
      </c>
      <c r="B446" s="21">
        <v>5</v>
      </c>
      <c r="C446" s="22" t="s">
        <v>12</v>
      </c>
      <c r="D446" s="21">
        <v>3.84</v>
      </c>
      <c r="E446" s="35">
        <v>9</v>
      </c>
    </row>
    <row r="447" spans="1:5" x14ac:dyDescent="0.35">
      <c r="A447" s="21">
        <v>77010000184</v>
      </c>
      <c r="B447" s="21">
        <v>5</v>
      </c>
      <c r="C447" s="22" t="s">
        <v>12</v>
      </c>
      <c r="D447" s="21">
        <v>3.84</v>
      </c>
      <c r="E447" s="35">
        <v>9</v>
      </c>
    </row>
    <row r="448" spans="1:5" x14ac:dyDescent="0.35">
      <c r="A448" s="21">
        <v>77010000203</v>
      </c>
      <c r="B448" s="21">
        <v>5</v>
      </c>
      <c r="C448" s="22" t="s">
        <v>12</v>
      </c>
      <c r="D448" s="21">
        <v>3.84</v>
      </c>
      <c r="E448" s="35">
        <v>9</v>
      </c>
    </row>
    <row r="449" spans="1:5" x14ac:dyDescent="0.35">
      <c r="A449" s="21">
        <v>77010000203</v>
      </c>
      <c r="B449" s="21">
        <v>5</v>
      </c>
      <c r="C449" s="22" t="s">
        <v>12</v>
      </c>
      <c r="D449" s="21">
        <v>3.84</v>
      </c>
      <c r="E449" s="35">
        <v>9</v>
      </c>
    </row>
    <row r="450" spans="1:5" x14ac:dyDescent="0.35">
      <c r="A450" s="21">
        <v>77010000189</v>
      </c>
      <c r="B450" s="21">
        <v>5</v>
      </c>
      <c r="C450" s="22" t="s">
        <v>12</v>
      </c>
      <c r="D450" s="21">
        <v>3.84</v>
      </c>
      <c r="E450" s="35">
        <v>9</v>
      </c>
    </row>
    <row r="451" spans="1:5" x14ac:dyDescent="0.35">
      <c r="A451" s="21">
        <v>77010000210</v>
      </c>
      <c r="B451" s="21">
        <v>5</v>
      </c>
      <c r="C451" s="22" t="s">
        <v>13</v>
      </c>
      <c r="D451" s="21">
        <v>7.43</v>
      </c>
      <c r="E451" s="35">
        <v>9</v>
      </c>
    </row>
    <row r="452" spans="1:5" x14ac:dyDescent="0.35">
      <c r="A452" s="21">
        <v>77010000233</v>
      </c>
      <c r="B452" s="21">
        <v>5</v>
      </c>
      <c r="C452" s="22" t="s">
        <v>12</v>
      </c>
      <c r="D452" s="21">
        <v>3.84</v>
      </c>
      <c r="E452" s="35">
        <v>9</v>
      </c>
    </row>
    <row r="453" spans="1:5" x14ac:dyDescent="0.35">
      <c r="A453" s="21">
        <v>77010000237</v>
      </c>
      <c r="B453" s="21">
        <v>5</v>
      </c>
      <c r="C453" s="22" t="s">
        <v>12</v>
      </c>
      <c r="D453" s="21">
        <v>3.84</v>
      </c>
      <c r="E453" s="35">
        <v>9</v>
      </c>
    </row>
    <row r="454" spans="1:5" x14ac:dyDescent="0.35">
      <c r="A454" s="21">
        <v>77010000192</v>
      </c>
      <c r="B454" s="21">
        <v>5</v>
      </c>
      <c r="C454" s="22" t="s">
        <v>12</v>
      </c>
      <c r="D454" s="21">
        <v>4.26</v>
      </c>
      <c r="E454" s="35">
        <v>10</v>
      </c>
    </row>
    <row r="455" spans="1:5" x14ac:dyDescent="0.35">
      <c r="A455" s="21">
        <v>77010000202</v>
      </c>
      <c r="B455" s="21">
        <v>5</v>
      </c>
      <c r="C455" s="22" t="s">
        <v>12</v>
      </c>
      <c r="D455" s="21">
        <v>4.26</v>
      </c>
      <c r="E455" s="35">
        <v>10</v>
      </c>
    </row>
    <row r="456" spans="1:5" x14ac:dyDescent="0.35">
      <c r="A456" s="21">
        <v>77010000204</v>
      </c>
      <c r="B456" s="21">
        <v>5</v>
      </c>
      <c r="C456" s="22" t="s">
        <v>12</v>
      </c>
      <c r="D456" s="21">
        <v>4.26</v>
      </c>
      <c r="E456" s="35">
        <v>10</v>
      </c>
    </row>
    <row r="457" spans="1:5" x14ac:dyDescent="0.35">
      <c r="A457" s="21">
        <v>77010000176</v>
      </c>
      <c r="B457" s="21">
        <v>5</v>
      </c>
      <c r="C457" s="22" t="s">
        <v>12</v>
      </c>
      <c r="D457" s="21">
        <v>4.26</v>
      </c>
      <c r="E457" s="35">
        <v>10</v>
      </c>
    </row>
    <row r="458" spans="1:5" x14ac:dyDescent="0.35">
      <c r="A458" s="21">
        <v>77010000187</v>
      </c>
      <c r="B458" s="21">
        <v>5</v>
      </c>
      <c r="C458" s="22" t="s">
        <v>12</v>
      </c>
      <c r="D458" s="21">
        <v>4.26</v>
      </c>
      <c r="E458" s="35">
        <v>10</v>
      </c>
    </row>
    <row r="459" spans="1:5" x14ac:dyDescent="0.35">
      <c r="A459" s="21">
        <v>77010000203</v>
      </c>
      <c r="B459" s="21">
        <v>5</v>
      </c>
      <c r="C459" s="22" t="s">
        <v>12</v>
      </c>
      <c r="D459" s="21">
        <v>4.26</v>
      </c>
      <c r="E459" s="35">
        <v>10</v>
      </c>
    </row>
    <row r="460" spans="1:5" x14ac:dyDescent="0.35">
      <c r="A460" s="21">
        <v>77010000231</v>
      </c>
      <c r="B460" s="21">
        <v>5</v>
      </c>
      <c r="C460" s="22" t="s">
        <v>12</v>
      </c>
      <c r="D460" s="21">
        <v>4.26</v>
      </c>
      <c r="E460" s="35">
        <v>10</v>
      </c>
    </row>
    <row r="461" spans="1:5" x14ac:dyDescent="0.35">
      <c r="A461" s="21">
        <v>77010000234</v>
      </c>
      <c r="B461" s="21">
        <v>5</v>
      </c>
      <c r="C461" s="22" t="s">
        <v>12</v>
      </c>
      <c r="D461" s="21">
        <v>4.26</v>
      </c>
      <c r="E461" s="35">
        <v>10</v>
      </c>
    </row>
    <row r="462" spans="1:5" x14ac:dyDescent="0.35">
      <c r="A462" s="21">
        <v>77010000197</v>
      </c>
      <c r="B462" s="21">
        <v>5</v>
      </c>
      <c r="C462" s="22" t="s">
        <v>12</v>
      </c>
      <c r="D462" s="21">
        <v>4.6900000000000004</v>
      </c>
      <c r="E462" s="35">
        <v>11</v>
      </c>
    </row>
    <row r="463" spans="1:5" x14ac:dyDescent="0.35">
      <c r="A463" s="21">
        <v>77010000172</v>
      </c>
      <c r="B463" s="21">
        <v>5</v>
      </c>
      <c r="C463" s="22" t="s">
        <v>14</v>
      </c>
      <c r="D463" s="21">
        <v>14.87</v>
      </c>
      <c r="E463" s="35">
        <v>11</v>
      </c>
    </row>
    <row r="464" spans="1:5" x14ac:dyDescent="0.35">
      <c r="A464" s="21">
        <v>77010000207</v>
      </c>
      <c r="B464" s="21">
        <v>5</v>
      </c>
      <c r="C464" s="22" t="s">
        <v>12</v>
      </c>
      <c r="D464" s="21">
        <v>4.6900000000000004</v>
      </c>
      <c r="E464" s="35">
        <v>11</v>
      </c>
    </row>
    <row r="465" spans="1:5" x14ac:dyDescent="0.35">
      <c r="A465" s="21">
        <v>77010000178</v>
      </c>
      <c r="B465" s="21">
        <v>5</v>
      </c>
      <c r="C465" s="22" t="s">
        <v>12</v>
      </c>
      <c r="D465" s="21">
        <v>4.6900000000000004</v>
      </c>
      <c r="E465" s="35">
        <v>11</v>
      </c>
    </row>
    <row r="466" spans="1:5" x14ac:dyDescent="0.35">
      <c r="A466" s="21">
        <v>77010000207</v>
      </c>
      <c r="B466" s="21">
        <v>5</v>
      </c>
      <c r="C466" s="22" t="s">
        <v>12</v>
      </c>
      <c r="D466" s="21">
        <v>4.6900000000000004</v>
      </c>
      <c r="E466" s="35">
        <v>11</v>
      </c>
    </row>
    <row r="467" spans="1:5" x14ac:dyDescent="0.35">
      <c r="A467" s="21">
        <v>77010000212</v>
      </c>
      <c r="B467" s="21">
        <v>5</v>
      </c>
      <c r="C467" s="22" t="s">
        <v>12</v>
      </c>
      <c r="D467" s="21">
        <v>4.6900000000000004</v>
      </c>
      <c r="E467" s="35">
        <v>11</v>
      </c>
    </row>
    <row r="468" spans="1:5" x14ac:dyDescent="0.35">
      <c r="A468" s="21">
        <v>77010000179</v>
      </c>
      <c r="B468" s="21">
        <v>5</v>
      </c>
      <c r="C468" s="22" t="s">
        <v>12</v>
      </c>
      <c r="D468" s="21">
        <v>5.1100000000000003</v>
      </c>
      <c r="E468" s="35">
        <v>12</v>
      </c>
    </row>
    <row r="469" spans="1:5" x14ac:dyDescent="0.35">
      <c r="A469" s="21">
        <v>77010000194</v>
      </c>
      <c r="B469" s="21">
        <v>5</v>
      </c>
      <c r="C469" s="22" t="s">
        <v>12</v>
      </c>
      <c r="D469" s="21">
        <v>5.1100000000000003</v>
      </c>
      <c r="E469" s="35">
        <v>12</v>
      </c>
    </row>
    <row r="470" spans="1:5" x14ac:dyDescent="0.35">
      <c r="A470" s="21">
        <v>77010000206</v>
      </c>
      <c r="B470" s="21">
        <v>5</v>
      </c>
      <c r="C470" s="22" t="s">
        <v>12</v>
      </c>
      <c r="D470" s="21">
        <v>5.1100000000000003</v>
      </c>
      <c r="E470" s="35">
        <v>12</v>
      </c>
    </row>
    <row r="471" spans="1:5" x14ac:dyDescent="0.35">
      <c r="A471" s="21">
        <v>77010000182</v>
      </c>
      <c r="B471" s="21">
        <v>5</v>
      </c>
      <c r="C471" s="22" t="s">
        <v>12</v>
      </c>
      <c r="D471" s="21">
        <v>5.1100000000000003</v>
      </c>
      <c r="E471" s="35">
        <v>12</v>
      </c>
    </row>
    <row r="472" spans="1:5" x14ac:dyDescent="0.35">
      <c r="A472" s="21">
        <v>77010000184</v>
      </c>
      <c r="B472" s="21">
        <v>5</v>
      </c>
      <c r="C472" s="22" t="s">
        <v>12</v>
      </c>
      <c r="D472" s="21">
        <v>5.1100000000000003</v>
      </c>
      <c r="E472" s="35">
        <v>12</v>
      </c>
    </row>
    <row r="473" spans="1:5" x14ac:dyDescent="0.35">
      <c r="A473" s="21">
        <v>77010000228</v>
      </c>
      <c r="B473" s="21">
        <v>5</v>
      </c>
      <c r="C473" s="22" t="s">
        <v>12</v>
      </c>
      <c r="D473" s="21">
        <v>5.1100000000000003</v>
      </c>
      <c r="E473" s="35">
        <v>12</v>
      </c>
    </row>
    <row r="474" spans="1:5" x14ac:dyDescent="0.35">
      <c r="A474" s="21">
        <v>77010000201</v>
      </c>
      <c r="B474" s="21">
        <v>5</v>
      </c>
      <c r="C474" s="22" t="s">
        <v>12</v>
      </c>
      <c r="D474" s="21">
        <v>5.54</v>
      </c>
      <c r="E474" s="35">
        <v>13</v>
      </c>
    </row>
    <row r="475" spans="1:5" x14ac:dyDescent="0.35">
      <c r="A475" s="21">
        <v>77010000208</v>
      </c>
      <c r="B475" s="21">
        <v>5</v>
      </c>
      <c r="C475" s="22" t="s">
        <v>12</v>
      </c>
      <c r="D475" s="21">
        <v>5.54</v>
      </c>
      <c r="E475" s="35">
        <v>13</v>
      </c>
    </row>
    <row r="476" spans="1:5" x14ac:dyDescent="0.35">
      <c r="A476" s="21">
        <v>77010000209</v>
      </c>
      <c r="B476" s="21">
        <v>5</v>
      </c>
      <c r="C476" s="22" t="s">
        <v>12</v>
      </c>
      <c r="D476" s="21">
        <v>5.54</v>
      </c>
      <c r="E476" s="35">
        <v>13</v>
      </c>
    </row>
    <row r="477" spans="1:5" x14ac:dyDescent="0.35">
      <c r="A477" s="21">
        <v>77010000226</v>
      </c>
      <c r="B477" s="21">
        <v>5</v>
      </c>
      <c r="C477" s="22" t="s">
        <v>12</v>
      </c>
      <c r="D477" s="21">
        <v>5.54</v>
      </c>
      <c r="E477" s="35">
        <v>13</v>
      </c>
    </row>
    <row r="478" spans="1:5" x14ac:dyDescent="0.35">
      <c r="A478" s="21">
        <v>77010000228</v>
      </c>
      <c r="B478" s="21">
        <v>5</v>
      </c>
      <c r="C478" s="22" t="s">
        <v>12</v>
      </c>
      <c r="D478" s="21">
        <v>5.54</v>
      </c>
      <c r="E478" s="35">
        <v>13</v>
      </c>
    </row>
    <row r="479" spans="1:5" x14ac:dyDescent="0.35">
      <c r="A479" s="21">
        <v>77010000210</v>
      </c>
      <c r="B479" s="21">
        <v>5</v>
      </c>
      <c r="C479" s="22" t="s">
        <v>12</v>
      </c>
      <c r="D479" s="21">
        <v>5.54</v>
      </c>
      <c r="E479" s="35">
        <v>13</v>
      </c>
    </row>
    <row r="480" spans="1:5" x14ac:dyDescent="0.35">
      <c r="A480" s="21">
        <v>77010000213</v>
      </c>
      <c r="B480" s="21">
        <v>5</v>
      </c>
      <c r="C480" s="22" t="s">
        <v>12</v>
      </c>
      <c r="D480" s="21">
        <v>5.54</v>
      </c>
      <c r="E480" s="35">
        <v>13</v>
      </c>
    </row>
    <row r="481" spans="1:5" x14ac:dyDescent="0.35">
      <c r="A481" s="21">
        <v>77010000236</v>
      </c>
      <c r="B481" s="21">
        <v>5</v>
      </c>
      <c r="C481" s="22" t="s">
        <v>12</v>
      </c>
      <c r="D481" s="21">
        <v>5.54</v>
      </c>
      <c r="E481" s="35">
        <v>13</v>
      </c>
    </row>
    <row r="482" spans="1:5" x14ac:dyDescent="0.35">
      <c r="A482" s="21">
        <v>77010000178</v>
      </c>
      <c r="B482" s="21">
        <v>5</v>
      </c>
      <c r="C482" s="22" t="s">
        <v>12</v>
      </c>
      <c r="D482" s="21">
        <v>5.97</v>
      </c>
      <c r="E482" s="35">
        <v>14</v>
      </c>
    </row>
    <row r="483" spans="1:5" x14ac:dyDescent="0.35">
      <c r="A483" s="21">
        <v>77010000207</v>
      </c>
      <c r="B483" s="21">
        <v>5</v>
      </c>
      <c r="C483" s="22" t="s">
        <v>12</v>
      </c>
      <c r="D483" s="21">
        <v>6.39</v>
      </c>
      <c r="E483" s="35">
        <v>15</v>
      </c>
    </row>
    <row r="484" spans="1:5" x14ac:dyDescent="0.35">
      <c r="A484" s="21">
        <v>77010000202</v>
      </c>
      <c r="B484" s="21">
        <v>5</v>
      </c>
      <c r="C484" s="22" t="s">
        <v>12</v>
      </c>
      <c r="D484" s="21">
        <v>6.39</v>
      </c>
      <c r="E484" s="35">
        <v>15</v>
      </c>
    </row>
    <row r="485" spans="1:5" x14ac:dyDescent="0.35">
      <c r="A485" s="21">
        <v>77010000194</v>
      </c>
      <c r="B485" s="21">
        <v>5</v>
      </c>
      <c r="C485" s="22" t="s">
        <v>12</v>
      </c>
      <c r="D485" s="21">
        <v>6.39</v>
      </c>
      <c r="E485" s="35">
        <v>15</v>
      </c>
    </row>
    <row r="486" spans="1:5" x14ac:dyDescent="0.35">
      <c r="A486" s="21">
        <v>77010000177</v>
      </c>
      <c r="B486" s="21">
        <v>5</v>
      </c>
      <c r="C486" s="22" t="s">
        <v>12</v>
      </c>
      <c r="D486" s="21">
        <v>6.82</v>
      </c>
      <c r="E486" s="35">
        <v>16</v>
      </c>
    </row>
    <row r="487" spans="1:5" x14ac:dyDescent="0.35">
      <c r="A487" s="21">
        <v>77010000179</v>
      </c>
      <c r="B487" s="21">
        <v>5</v>
      </c>
      <c r="C487" s="22" t="s">
        <v>12</v>
      </c>
      <c r="D487" s="21">
        <v>6.82</v>
      </c>
      <c r="E487" s="35">
        <v>16</v>
      </c>
    </row>
    <row r="488" spans="1:5" x14ac:dyDescent="0.35">
      <c r="A488" s="21">
        <v>77010000206</v>
      </c>
      <c r="B488" s="21">
        <v>5</v>
      </c>
      <c r="C488" s="22" t="s">
        <v>12</v>
      </c>
      <c r="D488" s="21">
        <v>7.25</v>
      </c>
      <c r="E488" s="35">
        <v>17</v>
      </c>
    </row>
    <row r="489" spans="1:5" x14ac:dyDescent="0.35">
      <c r="A489" s="21">
        <v>77010000236</v>
      </c>
      <c r="B489" s="21">
        <v>5</v>
      </c>
      <c r="C489" s="22" t="s">
        <v>12</v>
      </c>
      <c r="D489" s="21">
        <v>7.25</v>
      </c>
      <c r="E489" s="35">
        <v>17</v>
      </c>
    </row>
    <row r="490" spans="1:5" x14ac:dyDescent="0.35">
      <c r="A490" s="21">
        <v>77010000179</v>
      </c>
      <c r="B490" s="21">
        <v>5</v>
      </c>
      <c r="C490" s="22" t="s">
        <v>12</v>
      </c>
      <c r="D490" s="21">
        <v>7.67</v>
      </c>
      <c r="E490" s="35">
        <v>18</v>
      </c>
    </row>
    <row r="491" spans="1:5" x14ac:dyDescent="0.35">
      <c r="A491" s="21">
        <v>77010000188</v>
      </c>
      <c r="B491" s="21">
        <v>5</v>
      </c>
      <c r="C491" s="22" t="s">
        <v>12</v>
      </c>
      <c r="D491" s="21">
        <v>7.67</v>
      </c>
      <c r="E491" s="35">
        <v>18</v>
      </c>
    </row>
    <row r="492" spans="1:5" x14ac:dyDescent="0.35">
      <c r="A492" s="21">
        <v>77010000191</v>
      </c>
      <c r="B492" s="21">
        <v>5</v>
      </c>
      <c r="C492" s="22" t="s">
        <v>12</v>
      </c>
      <c r="D492" s="21">
        <v>7.67</v>
      </c>
      <c r="E492" s="35">
        <v>18</v>
      </c>
    </row>
    <row r="493" spans="1:5" x14ac:dyDescent="0.35">
      <c r="A493" s="21">
        <v>77010000194</v>
      </c>
      <c r="B493" s="21">
        <v>5</v>
      </c>
      <c r="C493" s="22" t="s">
        <v>12</v>
      </c>
      <c r="D493" s="21">
        <v>7.67</v>
      </c>
      <c r="E493" s="35">
        <v>18</v>
      </c>
    </row>
    <row r="494" spans="1:5" x14ac:dyDescent="0.35">
      <c r="A494" s="21">
        <v>77010000195</v>
      </c>
      <c r="B494" s="21">
        <v>5</v>
      </c>
      <c r="C494" s="22" t="s">
        <v>12</v>
      </c>
      <c r="D494" s="21">
        <v>7.67</v>
      </c>
      <c r="E494" s="35">
        <v>18</v>
      </c>
    </row>
    <row r="495" spans="1:5" x14ac:dyDescent="0.35">
      <c r="A495" s="21">
        <v>77010000185</v>
      </c>
      <c r="B495" s="21">
        <v>5</v>
      </c>
      <c r="C495" s="22" t="s">
        <v>12</v>
      </c>
      <c r="D495" s="21">
        <v>7.67</v>
      </c>
      <c r="E495" s="35">
        <v>18</v>
      </c>
    </row>
    <row r="496" spans="1:5" x14ac:dyDescent="0.35">
      <c r="A496" s="21">
        <v>77010000188</v>
      </c>
      <c r="B496" s="21">
        <v>5</v>
      </c>
      <c r="C496" s="22" t="s">
        <v>12</v>
      </c>
      <c r="D496" s="21">
        <v>7.67</v>
      </c>
      <c r="E496" s="35">
        <v>18</v>
      </c>
    </row>
    <row r="497" spans="1:5" x14ac:dyDescent="0.35">
      <c r="A497" s="21">
        <v>77010000213</v>
      </c>
      <c r="B497" s="21">
        <v>5</v>
      </c>
      <c r="C497" s="22" t="s">
        <v>13</v>
      </c>
      <c r="D497" s="21">
        <v>14.87</v>
      </c>
      <c r="E497" s="35">
        <v>18</v>
      </c>
    </row>
    <row r="498" spans="1:5" x14ac:dyDescent="0.35">
      <c r="A498" s="21">
        <v>77010000230</v>
      </c>
      <c r="B498" s="21">
        <v>5</v>
      </c>
      <c r="C498" s="22" t="s">
        <v>12</v>
      </c>
      <c r="D498" s="21">
        <v>7.67</v>
      </c>
      <c r="E498" s="35">
        <v>18</v>
      </c>
    </row>
    <row r="499" spans="1:5" x14ac:dyDescent="0.35">
      <c r="A499" s="21">
        <v>77010000217</v>
      </c>
      <c r="B499" s="21">
        <v>5</v>
      </c>
      <c r="C499" s="22" t="s">
        <v>12</v>
      </c>
      <c r="D499" s="21">
        <v>7.67</v>
      </c>
      <c r="E499" s="35">
        <v>18</v>
      </c>
    </row>
    <row r="500" spans="1:5" x14ac:dyDescent="0.35">
      <c r="A500" s="21">
        <v>77010000183</v>
      </c>
      <c r="B500" s="21">
        <v>5</v>
      </c>
      <c r="C500" s="22" t="s">
        <v>12</v>
      </c>
      <c r="D500" s="21">
        <v>8.1</v>
      </c>
      <c r="E500" s="35">
        <v>19</v>
      </c>
    </row>
    <row r="501" spans="1:5" x14ac:dyDescent="0.35">
      <c r="A501" s="21">
        <v>77010000176</v>
      </c>
      <c r="B501" s="21">
        <v>5</v>
      </c>
      <c r="C501" s="22" t="s">
        <v>12</v>
      </c>
      <c r="D501" s="21">
        <v>8.1</v>
      </c>
      <c r="E501" s="35">
        <v>19</v>
      </c>
    </row>
    <row r="502" spans="1:5" x14ac:dyDescent="0.35">
      <c r="A502" s="21">
        <v>77010000180</v>
      </c>
      <c r="B502" s="21">
        <v>5</v>
      </c>
      <c r="C502" s="22" t="s">
        <v>12</v>
      </c>
      <c r="D502" s="21">
        <v>8.1</v>
      </c>
      <c r="E502" s="35">
        <v>19</v>
      </c>
    </row>
    <row r="503" spans="1:5" x14ac:dyDescent="0.35">
      <c r="A503" s="21">
        <v>77010000232</v>
      </c>
      <c r="B503" s="21">
        <v>5</v>
      </c>
      <c r="C503" s="22" t="s">
        <v>12</v>
      </c>
      <c r="D503" s="21">
        <v>8.1</v>
      </c>
      <c r="E503" s="35">
        <v>19</v>
      </c>
    </row>
    <row r="504" spans="1:5" x14ac:dyDescent="0.35">
      <c r="A504" s="21">
        <v>77010000204</v>
      </c>
      <c r="B504" s="21">
        <v>5</v>
      </c>
      <c r="C504" s="22" t="s">
        <v>12</v>
      </c>
      <c r="D504" s="21">
        <v>8.52</v>
      </c>
      <c r="E504" s="35">
        <v>20</v>
      </c>
    </row>
    <row r="505" spans="1:5" x14ac:dyDescent="0.35">
      <c r="A505" s="21">
        <v>77010000208</v>
      </c>
      <c r="B505" s="21">
        <v>5</v>
      </c>
      <c r="C505" s="22" t="s">
        <v>14</v>
      </c>
      <c r="D505" s="21">
        <v>14.87</v>
      </c>
      <c r="E505" s="35">
        <v>20</v>
      </c>
    </row>
    <row r="506" spans="1:5" x14ac:dyDescent="0.35">
      <c r="A506" s="21">
        <v>77010000234</v>
      </c>
      <c r="B506" s="21">
        <v>5</v>
      </c>
      <c r="C506" s="22" t="s">
        <v>12</v>
      </c>
      <c r="D506" s="21">
        <v>8.52</v>
      </c>
      <c r="E506" s="35">
        <v>20</v>
      </c>
    </row>
    <row r="507" spans="1:5" x14ac:dyDescent="0.35">
      <c r="A507" s="21">
        <v>77010000196</v>
      </c>
      <c r="B507" s="21">
        <v>5</v>
      </c>
      <c r="C507" s="22" t="s">
        <v>12</v>
      </c>
      <c r="D507" s="21">
        <v>8.9499999999999993</v>
      </c>
      <c r="E507" s="35">
        <v>21</v>
      </c>
    </row>
    <row r="508" spans="1:5" x14ac:dyDescent="0.35">
      <c r="A508" s="21">
        <v>77010000170</v>
      </c>
      <c r="B508" s="21">
        <v>5</v>
      </c>
      <c r="C508" s="22" t="s">
        <v>12</v>
      </c>
      <c r="D508" s="21">
        <v>9.3800000000000008</v>
      </c>
      <c r="E508" s="35">
        <v>22</v>
      </c>
    </row>
    <row r="509" spans="1:5" x14ac:dyDescent="0.35">
      <c r="A509" s="21">
        <v>77010000173</v>
      </c>
      <c r="B509" s="21">
        <v>5</v>
      </c>
      <c r="C509" s="22" t="s">
        <v>12</v>
      </c>
      <c r="D509" s="21">
        <v>9.3800000000000008</v>
      </c>
      <c r="E509" s="35">
        <v>22</v>
      </c>
    </row>
    <row r="510" spans="1:5" x14ac:dyDescent="0.35">
      <c r="A510" s="21">
        <v>77010000211</v>
      </c>
      <c r="B510" s="21">
        <v>5</v>
      </c>
      <c r="C510" s="22" t="s">
        <v>12</v>
      </c>
      <c r="D510" s="21">
        <v>9.3800000000000008</v>
      </c>
      <c r="E510" s="35">
        <v>22</v>
      </c>
    </row>
    <row r="511" spans="1:5" x14ac:dyDescent="0.35">
      <c r="A511" s="21">
        <v>77010000181</v>
      </c>
      <c r="B511" s="21">
        <v>5</v>
      </c>
      <c r="C511" s="22" t="s">
        <v>12</v>
      </c>
      <c r="D511" s="21">
        <v>9.8000000000000007</v>
      </c>
      <c r="E511" s="35">
        <v>23</v>
      </c>
    </row>
    <row r="512" spans="1:5" x14ac:dyDescent="0.35">
      <c r="A512" s="21">
        <v>77010000186</v>
      </c>
      <c r="B512" s="21">
        <v>5</v>
      </c>
      <c r="C512" s="22" t="s">
        <v>12</v>
      </c>
      <c r="D512" s="21">
        <v>9.8000000000000007</v>
      </c>
      <c r="E512" s="35">
        <v>23</v>
      </c>
    </row>
    <row r="513" spans="1:5" x14ac:dyDescent="0.35">
      <c r="A513" s="21">
        <v>77010000229</v>
      </c>
      <c r="B513" s="21">
        <v>5</v>
      </c>
      <c r="C513" s="22" t="s">
        <v>12</v>
      </c>
      <c r="D513" s="21">
        <v>9.8000000000000007</v>
      </c>
      <c r="E513" s="35">
        <v>23</v>
      </c>
    </row>
    <row r="514" spans="1:5" x14ac:dyDescent="0.35">
      <c r="A514" s="21">
        <v>77010000205</v>
      </c>
      <c r="B514" s="21">
        <v>5</v>
      </c>
      <c r="C514" s="22" t="s">
        <v>12</v>
      </c>
      <c r="D514" s="21">
        <v>10.66</v>
      </c>
      <c r="E514" s="35">
        <v>25</v>
      </c>
    </row>
    <row r="515" spans="1:5" x14ac:dyDescent="0.35">
      <c r="A515" s="21">
        <v>77010000222</v>
      </c>
      <c r="B515" s="21">
        <v>5</v>
      </c>
      <c r="C515" s="22" t="s">
        <v>12</v>
      </c>
      <c r="D515" s="21">
        <v>11.08</v>
      </c>
      <c r="E515" s="35">
        <v>26</v>
      </c>
    </row>
    <row r="516" spans="1:5" x14ac:dyDescent="0.35">
      <c r="A516" s="21">
        <v>77010000225</v>
      </c>
      <c r="B516" s="21">
        <v>5</v>
      </c>
      <c r="C516" s="22" t="s">
        <v>12</v>
      </c>
      <c r="D516" s="21">
        <v>11.08</v>
      </c>
      <c r="E516" s="35">
        <v>26</v>
      </c>
    </row>
    <row r="517" spans="1:5" x14ac:dyDescent="0.35">
      <c r="A517" s="21">
        <v>77010000214</v>
      </c>
      <c r="B517" s="21">
        <v>5</v>
      </c>
      <c r="C517" s="22" t="s">
        <v>12</v>
      </c>
      <c r="D517" s="21">
        <v>11.93</v>
      </c>
      <c r="E517" s="35">
        <v>28</v>
      </c>
    </row>
    <row r="518" spans="1:5" x14ac:dyDescent="0.35">
      <c r="A518" s="21">
        <v>77010000211</v>
      </c>
      <c r="B518" s="21">
        <v>5</v>
      </c>
      <c r="C518" s="22" t="s">
        <v>12</v>
      </c>
      <c r="D518" s="21">
        <v>13.21</v>
      </c>
      <c r="E518" s="35">
        <v>31</v>
      </c>
    </row>
    <row r="519" spans="1:5" x14ac:dyDescent="0.35">
      <c r="A519" s="21">
        <v>77010000215</v>
      </c>
      <c r="B519" s="21">
        <v>5</v>
      </c>
      <c r="C519" s="22" t="s">
        <v>12</v>
      </c>
      <c r="D519" s="21">
        <v>14.06</v>
      </c>
      <c r="E519" s="35">
        <v>33</v>
      </c>
    </row>
    <row r="520" spans="1:5" x14ac:dyDescent="0.35">
      <c r="A520" s="21">
        <v>77010000262</v>
      </c>
      <c r="B520" s="21">
        <v>6</v>
      </c>
      <c r="C520" s="22" t="s">
        <v>12</v>
      </c>
      <c r="D520" s="21">
        <v>0</v>
      </c>
      <c r="E520" s="35">
        <v>0</v>
      </c>
    </row>
    <row r="521" spans="1:5" x14ac:dyDescent="0.35">
      <c r="A521" s="21">
        <v>77010000240</v>
      </c>
      <c r="B521" s="21">
        <v>6</v>
      </c>
      <c r="C521" s="22" t="s">
        <v>12</v>
      </c>
      <c r="D521" s="21">
        <v>4.26</v>
      </c>
      <c r="E521" s="35">
        <v>1</v>
      </c>
    </row>
    <row r="522" spans="1:5" x14ac:dyDescent="0.35">
      <c r="A522" s="21">
        <v>77010000244</v>
      </c>
      <c r="B522" s="21">
        <v>6</v>
      </c>
      <c r="C522" s="22" t="s">
        <v>12</v>
      </c>
      <c r="D522" s="21">
        <v>4.26</v>
      </c>
      <c r="E522" s="35">
        <v>1</v>
      </c>
    </row>
    <row r="523" spans="1:5" x14ac:dyDescent="0.35">
      <c r="A523" s="21">
        <v>77010000245</v>
      </c>
      <c r="B523" s="21">
        <v>6</v>
      </c>
      <c r="C523" s="22" t="s">
        <v>12</v>
      </c>
      <c r="D523" s="21">
        <v>4.26</v>
      </c>
      <c r="E523" s="35">
        <v>1</v>
      </c>
    </row>
    <row r="524" spans="1:5" x14ac:dyDescent="0.35">
      <c r="A524" s="21">
        <v>77010000247</v>
      </c>
      <c r="B524" s="21">
        <v>6</v>
      </c>
      <c r="C524" s="22" t="s">
        <v>12</v>
      </c>
      <c r="D524" s="21">
        <v>4.26</v>
      </c>
      <c r="E524" s="35">
        <v>1</v>
      </c>
    </row>
    <row r="525" spans="1:5" x14ac:dyDescent="0.35">
      <c r="A525" s="21">
        <v>77010000252</v>
      </c>
      <c r="B525" s="21">
        <v>6</v>
      </c>
      <c r="C525" s="22" t="s">
        <v>12</v>
      </c>
      <c r="D525" s="21">
        <v>4.26</v>
      </c>
      <c r="E525" s="35">
        <v>1</v>
      </c>
    </row>
    <row r="526" spans="1:5" x14ac:dyDescent="0.35">
      <c r="A526" s="21">
        <v>77010000269</v>
      </c>
      <c r="B526" s="21">
        <v>6</v>
      </c>
      <c r="C526" s="22" t="s">
        <v>12</v>
      </c>
      <c r="D526" s="21">
        <v>4.26</v>
      </c>
      <c r="E526" s="35">
        <v>1</v>
      </c>
    </row>
    <row r="527" spans="1:5" x14ac:dyDescent="0.35">
      <c r="A527" s="21">
        <v>77010000273</v>
      </c>
      <c r="B527" s="21">
        <v>6</v>
      </c>
      <c r="C527" s="22" t="s">
        <v>12</v>
      </c>
      <c r="D527" s="21">
        <v>4.26</v>
      </c>
      <c r="E527" s="35">
        <v>1</v>
      </c>
    </row>
    <row r="528" spans="1:5" x14ac:dyDescent="0.35">
      <c r="A528" s="21">
        <v>77010000287</v>
      </c>
      <c r="B528" s="21">
        <v>6</v>
      </c>
      <c r="C528" s="22" t="s">
        <v>12</v>
      </c>
      <c r="D528" s="21">
        <v>4.26</v>
      </c>
      <c r="E528" s="35">
        <v>1</v>
      </c>
    </row>
    <row r="529" spans="1:5" x14ac:dyDescent="0.35">
      <c r="A529" s="21">
        <v>77010000288</v>
      </c>
      <c r="B529" s="21">
        <v>6</v>
      </c>
      <c r="C529" s="22" t="s">
        <v>12</v>
      </c>
      <c r="D529" s="21">
        <v>4.26</v>
      </c>
      <c r="E529" s="35">
        <v>1</v>
      </c>
    </row>
    <row r="530" spans="1:5" x14ac:dyDescent="0.35">
      <c r="A530" s="21">
        <v>77010000291</v>
      </c>
      <c r="B530" s="21">
        <v>6</v>
      </c>
      <c r="C530" s="22" t="s">
        <v>12</v>
      </c>
      <c r="D530" s="21">
        <v>4.26</v>
      </c>
      <c r="E530" s="35">
        <v>1</v>
      </c>
    </row>
    <row r="531" spans="1:5" x14ac:dyDescent="0.35">
      <c r="A531" s="21">
        <v>77010000293</v>
      </c>
      <c r="B531" s="21">
        <v>6</v>
      </c>
      <c r="C531" s="22" t="s">
        <v>13</v>
      </c>
      <c r="D531" s="21">
        <v>7.43</v>
      </c>
      <c r="E531" s="35">
        <v>1</v>
      </c>
    </row>
    <row r="532" spans="1:5" x14ac:dyDescent="0.35">
      <c r="A532" s="21">
        <v>77010000310</v>
      </c>
      <c r="B532" s="21">
        <v>6</v>
      </c>
      <c r="C532" s="22" t="s">
        <v>12</v>
      </c>
      <c r="D532" s="21">
        <v>4.26</v>
      </c>
      <c r="E532" s="35">
        <v>1</v>
      </c>
    </row>
    <row r="533" spans="1:5" x14ac:dyDescent="0.35">
      <c r="A533" s="21">
        <v>77010000244</v>
      </c>
      <c r="B533" s="21">
        <v>6</v>
      </c>
      <c r="C533" s="22" t="s">
        <v>12</v>
      </c>
      <c r="D533" s="21">
        <v>4.26</v>
      </c>
      <c r="E533" s="35">
        <v>1</v>
      </c>
    </row>
    <row r="534" spans="1:5" x14ac:dyDescent="0.35">
      <c r="A534" s="21">
        <v>77010000271</v>
      </c>
      <c r="B534" s="21">
        <v>6</v>
      </c>
      <c r="C534" s="22" t="s">
        <v>13</v>
      </c>
      <c r="D534" s="21">
        <v>7.43</v>
      </c>
      <c r="E534" s="35">
        <v>1</v>
      </c>
    </row>
    <row r="535" spans="1:5" x14ac:dyDescent="0.35">
      <c r="A535" s="21">
        <v>77010000239</v>
      </c>
      <c r="B535" s="21">
        <v>6</v>
      </c>
      <c r="C535" s="22" t="s">
        <v>12</v>
      </c>
      <c r="D535" s="21">
        <v>4.26</v>
      </c>
      <c r="E535" s="35">
        <v>2</v>
      </c>
    </row>
    <row r="536" spans="1:5" x14ac:dyDescent="0.35">
      <c r="A536" s="21">
        <v>77010000243</v>
      </c>
      <c r="B536" s="21">
        <v>6</v>
      </c>
      <c r="C536" s="22" t="s">
        <v>12</v>
      </c>
      <c r="D536" s="21">
        <v>4.26</v>
      </c>
      <c r="E536" s="35">
        <v>2</v>
      </c>
    </row>
    <row r="537" spans="1:5" x14ac:dyDescent="0.35">
      <c r="A537" s="21">
        <v>77010000251</v>
      </c>
      <c r="B537" s="21">
        <v>6</v>
      </c>
      <c r="C537" s="22" t="s">
        <v>12</v>
      </c>
      <c r="D537" s="21">
        <v>4.26</v>
      </c>
      <c r="E537" s="35">
        <v>2</v>
      </c>
    </row>
    <row r="538" spans="1:5" x14ac:dyDescent="0.35">
      <c r="A538" s="21">
        <v>77010000306</v>
      </c>
      <c r="B538" s="21">
        <v>6</v>
      </c>
      <c r="C538" s="22" t="s">
        <v>12</v>
      </c>
      <c r="D538" s="21">
        <v>4.26</v>
      </c>
      <c r="E538" s="35">
        <v>2</v>
      </c>
    </row>
    <row r="539" spans="1:5" x14ac:dyDescent="0.35">
      <c r="A539" s="21">
        <v>77010000273</v>
      </c>
      <c r="B539" s="21">
        <v>6</v>
      </c>
      <c r="C539" s="22" t="s">
        <v>12</v>
      </c>
      <c r="D539" s="21">
        <v>4.26</v>
      </c>
      <c r="E539" s="35">
        <v>2</v>
      </c>
    </row>
    <row r="540" spans="1:5" x14ac:dyDescent="0.35">
      <c r="A540" s="21">
        <v>77010000279</v>
      </c>
      <c r="B540" s="21">
        <v>6</v>
      </c>
      <c r="C540" s="22" t="s">
        <v>12</v>
      </c>
      <c r="D540" s="21">
        <v>4.26</v>
      </c>
      <c r="E540" s="35">
        <v>2</v>
      </c>
    </row>
    <row r="541" spans="1:5" x14ac:dyDescent="0.35">
      <c r="A541" s="21">
        <v>77010000281</v>
      </c>
      <c r="B541" s="21">
        <v>6</v>
      </c>
      <c r="C541" s="22" t="s">
        <v>12</v>
      </c>
      <c r="D541" s="21">
        <v>4.26</v>
      </c>
      <c r="E541" s="35">
        <v>2</v>
      </c>
    </row>
    <row r="542" spans="1:5" x14ac:dyDescent="0.35">
      <c r="A542" s="21">
        <v>77010000238</v>
      </c>
      <c r="B542" s="21">
        <v>6</v>
      </c>
      <c r="C542" s="22" t="s">
        <v>12</v>
      </c>
      <c r="D542" s="21">
        <v>4.26</v>
      </c>
      <c r="E542" s="35">
        <v>3</v>
      </c>
    </row>
    <row r="543" spans="1:5" x14ac:dyDescent="0.35">
      <c r="A543" s="21">
        <v>77010000246</v>
      </c>
      <c r="B543" s="21">
        <v>6</v>
      </c>
      <c r="C543" s="22" t="s">
        <v>12</v>
      </c>
      <c r="D543" s="21">
        <v>4.26</v>
      </c>
      <c r="E543" s="35">
        <v>3</v>
      </c>
    </row>
    <row r="544" spans="1:5" x14ac:dyDescent="0.35">
      <c r="A544" s="21">
        <v>77010000248</v>
      </c>
      <c r="B544" s="21">
        <v>6</v>
      </c>
      <c r="C544" s="22" t="s">
        <v>12</v>
      </c>
      <c r="D544" s="21">
        <v>4.26</v>
      </c>
      <c r="E544" s="35">
        <v>3</v>
      </c>
    </row>
    <row r="545" spans="1:5" x14ac:dyDescent="0.35">
      <c r="A545" s="21">
        <v>77010000281</v>
      </c>
      <c r="B545" s="21">
        <v>6</v>
      </c>
      <c r="C545" s="22" t="s">
        <v>12</v>
      </c>
      <c r="D545" s="21">
        <v>4.26</v>
      </c>
      <c r="E545" s="35">
        <v>3</v>
      </c>
    </row>
    <row r="546" spans="1:5" x14ac:dyDescent="0.35">
      <c r="A546" s="21">
        <v>77010000270</v>
      </c>
      <c r="B546" s="21">
        <v>6</v>
      </c>
      <c r="C546" s="22" t="s">
        <v>12</v>
      </c>
      <c r="D546" s="21">
        <v>4.26</v>
      </c>
      <c r="E546" s="35">
        <v>3</v>
      </c>
    </row>
    <row r="547" spans="1:5" x14ac:dyDescent="0.35">
      <c r="A547" s="21">
        <v>77010000271</v>
      </c>
      <c r="B547" s="21">
        <v>6</v>
      </c>
      <c r="C547" s="22" t="s">
        <v>12</v>
      </c>
      <c r="D547" s="21">
        <v>4.26</v>
      </c>
      <c r="E547" s="35">
        <v>4</v>
      </c>
    </row>
    <row r="548" spans="1:5" x14ac:dyDescent="0.35">
      <c r="A548" s="21">
        <v>77010000294</v>
      </c>
      <c r="B548" s="21">
        <v>6</v>
      </c>
      <c r="C548" s="22" t="s">
        <v>12</v>
      </c>
      <c r="D548" s="21">
        <v>4.26</v>
      </c>
      <c r="E548" s="35">
        <v>4</v>
      </c>
    </row>
    <row r="549" spans="1:5" x14ac:dyDescent="0.35">
      <c r="A549" s="21">
        <v>77010000290</v>
      </c>
      <c r="B549" s="21">
        <v>6</v>
      </c>
      <c r="C549" s="22" t="s">
        <v>12</v>
      </c>
      <c r="D549" s="21">
        <v>4.26</v>
      </c>
      <c r="E549" s="35">
        <v>4</v>
      </c>
    </row>
    <row r="550" spans="1:5" x14ac:dyDescent="0.35">
      <c r="A550" s="21">
        <v>77010000258</v>
      </c>
      <c r="B550" s="21">
        <v>6</v>
      </c>
      <c r="C550" s="22" t="s">
        <v>12</v>
      </c>
      <c r="D550" s="21">
        <v>0</v>
      </c>
      <c r="E550" s="35">
        <v>4</v>
      </c>
    </row>
    <row r="551" spans="1:5" x14ac:dyDescent="0.35">
      <c r="A551" s="21">
        <v>77010000288</v>
      </c>
      <c r="B551" s="21">
        <v>6</v>
      </c>
      <c r="C551" s="22" t="s">
        <v>12</v>
      </c>
      <c r="D551" s="21">
        <v>4.26</v>
      </c>
      <c r="E551" s="35">
        <v>4</v>
      </c>
    </row>
    <row r="552" spans="1:5" x14ac:dyDescent="0.35">
      <c r="A552" s="21">
        <v>77010000270</v>
      </c>
      <c r="B552" s="21">
        <v>6</v>
      </c>
      <c r="C552" s="22" t="s">
        <v>12</v>
      </c>
      <c r="D552" s="21">
        <v>4.26</v>
      </c>
      <c r="E552" s="35">
        <v>5</v>
      </c>
    </row>
    <row r="553" spans="1:5" x14ac:dyDescent="0.35">
      <c r="A553" s="21">
        <v>77010000285</v>
      </c>
      <c r="B553" s="21">
        <v>6</v>
      </c>
      <c r="C553" s="22" t="s">
        <v>12</v>
      </c>
      <c r="D553" s="21">
        <v>4.26</v>
      </c>
      <c r="E553" s="35">
        <v>5</v>
      </c>
    </row>
    <row r="554" spans="1:5" x14ac:dyDescent="0.35">
      <c r="A554" s="21">
        <v>77010000295</v>
      </c>
      <c r="B554" s="21">
        <v>6</v>
      </c>
      <c r="C554" s="22" t="s">
        <v>12</v>
      </c>
      <c r="D554" s="21">
        <v>4.26</v>
      </c>
      <c r="E554" s="35">
        <v>5</v>
      </c>
    </row>
    <row r="555" spans="1:5" x14ac:dyDescent="0.35">
      <c r="A555" s="21">
        <v>77010000312</v>
      </c>
      <c r="B555" s="21">
        <v>6</v>
      </c>
      <c r="C555" s="22" t="s">
        <v>12</v>
      </c>
      <c r="D555" s="21">
        <v>4.26</v>
      </c>
      <c r="E555" s="35">
        <v>5</v>
      </c>
    </row>
    <row r="556" spans="1:5" x14ac:dyDescent="0.35">
      <c r="A556" s="21">
        <v>77010000248</v>
      </c>
      <c r="B556" s="21">
        <v>6</v>
      </c>
      <c r="C556" s="22" t="s">
        <v>12</v>
      </c>
      <c r="D556" s="21">
        <v>4.26</v>
      </c>
      <c r="E556" s="35">
        <v>5</v>
      </c>
    </row>
    <row r="557" spans="1:5" x14ac:dyDescent="0.35">
      <c r="A557" s="21">
        <v>77010000241</v>
      </c>
      <c r="B557" s="21">
        <v>6</v>
      </c>
      <c r="C557" s="22" t="s">
        <v>12</v>
      </c>
      <c r="D557" s="21">
        <v>4.26</v>
      </c>
      <c r="E557" s="35">
        <v>6</v>
      </c>
    </row>
    <row r="558" spans="1:5" x14ac:dyDescent="0.35">
      <c r="A558" s="21">
        <v>77010000242</v>
      </c>
      <c r="B558" s="21">
        <v>6</v>
      </c>
      <c r="C558" s="22" t="s">
        <v>12</v>
      </c>
      <c r="D558" s="21">
        <v>4.26</v>
      </c>
      <c r="E558" s="35">
        <v>6</v>
      </c>
    </row>
    <row r="559" spans="1:5" x14ac:dyDescent="0.35">
      <c r="A559" s="21">
        <v>77010000249</v>
      </c>
      <c r="B559" s="21">
        <v>6</v>
      </c>
      <c r="C559" s="22" t="s">
        <v>12</v>
      </c>
      <c r="D559" s="21">
        <v>4.26</v>
      </c>
      <c r="E559" s="35">
        <v>6</v>
      </c>
    </row>
    <row r="560" spans="1:5" x14ac:dyDescent="0.35">
      <c r="A560" s="21">
        <v>77010000257</v>
      </c>
      <c r="B560" s="21">
        <v>6</v>
      </c>
      <c r="C560" s="22" t="s">
        <v>12</v>
      </c>
      <c r="D560" s="21">
        <v>4.26</v>
      </c>
      <c r="E560" s="35">
        <v>6</v>
      </c>
    </row>
    <row r="561" spans="1:5" x14ac:dyDescent="0.35">
      <c r="A561" s="21">
        <v>77010000289</v>
      </c>
      <c r="B561" s="21">
        <v>6</v>
      </c>
      <c r="C561" s="22" t="s">
        <v>12</v>
      </c>
      <c r="D561" s="21">
        <v>4.26</v>
      </c>
      <c r="E561" s="35">
        <v>6</v>
      </c>
    </row>
    <row r="562" spans="1:5" x14ac:dyDescent="0.35">
      <c r="A562" s="21">
        <v>77010000290</v>
      </c>
      <c r="B562" s="21">
        <v>6</v>
      </c>
      <c r="C562" s="22" t="s">
        <v>12</v>
      </c>
      <c r="D562" s="21">
        <v>4.26</v>
      </c>
      <c r="E562" s="35">
        <v>6</v>
      </c>
    </row>
    <row r="563" spans="1:5" x14ac:dyDescent="0.35">
      <c r="A563" s="21">
        <v>77010000250</v>
      </c>
      <c r="B563" s="21">
        <v>6</v>
      </c>
      <c r="C563" s="22" t="s">
        <v>12</v>
      </c>
      <c r="D563" s="21">
        <v>4.26</v>
      </c>
      <c r="E563" s="35">
        <v>7</v>
      </c>
    </row>
    <row r="564" spans="1:5" x14ac:dyDescent="0.35">
      <c r="A564" s="21">
        <v>77010000292</v>
      </c>
      <c r="B564" s="21">
        <v>6</v>
      </c>
      <c r="C564" s="22" t="s">
        <v>12</v>
      </c>
      <c r="D564" s="21">
        <v>4.26</v>
      </c>
      <c r="E564" s="35">
        <v>7</v>
      </c>
    </row>
    <row r="565" spans="1:5" x14ac:dyDescent="0.35">
      <c r="A565" s="21">
        <v>77010000243</v>
      </c>
      <c r="B565" s="21">
        <v>6</v>
      </c>
      <c r="C565" s="22" t="s">
        <v>12</v>
      </c>
      <c r="D565" s="21">
        <v>4.26</v>
      </c>
      <c r="E565" s="35">
        <v>7</v>
      </c>
    </row>
    <row r="566" spans="1:5" x14ac:dyDescent="0.35">
      <c r="A566" s="21">
        <v>77010000254</v>
      </c>
      <c r="B566" s="21">
        <v>6</v>
      </c>
      <c r="C566" s="22" t="s">
        <v>12</v>
      </c>
      <c r="D566" s="21">
        <v>4.26</v>
      </c>
      <c r="E566" s="35">
        <v>7</v>
      </c>
    </row>
    <row r="567" spans="1:5" x14ac:dyDescent="0.35">
      <c r="A567" s="21">
        <v>77010000258</v>
      </c>
      <c r="B567" s="21">
        <v>6</v>
      </c>
      <c r="C567" s="22" t="s">
        <v>12</v>
      </c>
      <c r="D567" s="21">
        <v>4.26</v>
      </c>
      <c r="E567" s="35">
        <v>7</v>
      </c>
    </row>
    <row r="568" spans="1:5" x14ac:dyDescent="0.35">
      <c r="A568" s="21">
        <v>77010000293</v>
      </c>
      <c r="B568" s="21">
        <v>6</v>
      </c>
      <c r="C568" s="22" t="s">
        <v>12</v>
      </c>
      <c r="D568" s="21">
        <v>4.26</v>
      </c>
      <c r="E568" s="35">
        <v>7</v>
      </c>
    </row>
    <row r="569" spans="1:5" x14ac:dyDescent="0.35">
      <c r="A569" s="21">
        <v>77010000260</v>
      </c>
      <c r="B569" s="21">
        <v>6</v>
      </c>
      <c r="C569" s="22" t="s">
        <v>12</v>
      </c>
      <c r="D569" s="21">
        <v>4.26</v>
      </c>
      <c r="E569" s="35">
        <v>8</v>
      </c>
    </row>
    <row r="570" spans="1:5" x14ac:dyDescent="0.35">
      <c r="A570" s="21">
        <v>77010000261</v>
      </c>
      <c r="B570" s="21">
        <v>6</v>
      </c>
      <c r="C570" s="22" t="s">
        <v>12</v>
      </c>
      <c r="D570" s="21">
        <v>4.26</v>
      </c>
      <c r="E570" s="35">
        <v>8</v>
      </c>
    </row>
    <row r="571" spans="1:5" x14ac:dyDescent="0.35">
      <c r="A571" s="21">
        <v>77010000282</v>
      </c>
      <c r="B571" s="21">
        <v>6</v>
      </c>
      <c r="C571" s="22" t="s">
        <v>12</v>
      </c>
      <c r="D571" s="21">
        <v>4.26</v>
      </c>
      <c r="E571" s="35">
        <v>8</v>
      </c>
    </row>
    <row r="572" spans="1:5" x14ac:dyDescent="0.35">
      <c r="A572" s="21">
        <v>77010000255</v>
      </c>
      <c r="B572" s="21">
        <v>6</v>
      </c>
      <c r="C572" s="22" t="s">
        <v>12</v>
      </c>
      <c r="D572" s="21">
        <v>4.26</v>
      </c>
      <c r="E572" s="35">
        <v>8</v>
      </c>
    </row>
    <row r="573" spans="1:5" x14ac:dyDescent="0.35">
      <c r="A573" s="21">
        <v>77010000307</v>
      </c>
      <c r="B573" s="21">
        <v>6</v>
      </c>
      <c r="C573" s="22" t="s">
        <v>12</v>
      </c>
      <c r="D573" s="21">
        <v>4.26</v>
      </c>
      <c r="E573" s="35">
        <v>8</v>
      </c>
    </row>
    <row r="574" spans="1:5" x14ac:dyDescent="0.35">
      <c r="A574" s="21">
        <v>77010000274</v>
      </c>
      <c r="B574" s="21">
        <v>6</v>
      </c>
      <c r="C574" s="22" t="s">
        <v>12</v>
      </c>
      <c r="D574" s="21">
        <v>4.26</v>
      </c>
      <c r="E574" s="35">
        <v>9</v>
      </c>
    </row>
    <row r="575" spans="1:5" x14ac:dyDescent="0.35">
      <c r="A575" s="21">
        <v>77010000287</v>
      </c>
      <c r="B575" s="21">
        <v>6</v>
      </c>
      <c r="C575" s="22" t="s">
        <v>12</v>
      </c>
      <c r="D575" s="21">
        <v>4.26</v>
      </c>
      <c r="E575" s="35">
        <v>9</v>
      </c>
    </row>
    <row r="576" spans="1:5" x14ac:dyDescent="0.35">
      <c r="A576" s="21">
        <v>77010000306</v>
      </c>
      <c r="B576" s="21">
        <v>6</v>
      </c>
      <c r="C576" s="22" t="s">
        <v>12</v>
      </c>
      <c r="D576" s="21">
        <v>4.26</v>
      </c>
      <c r="E576" s="35">
        <v>9</v>
      </c>
    </row>
    <row r="577" spans="1:5" x14ac:dyDescent="0.35">
      <c r="A577" s="21">
        <v>77010000256</v>
      </c>
      <c r="B577" s="21">
        <v>6</v>
      </c>
      <c r="C577" s="22" t="s">
        <v>12</v>
      </c>
      <c r="D577" s="21">
        <v>4.26</v>
      </c>
      <c r="E577" s="35">
        <v>10</v>
      </c>
    </row>
    <row r="578" spans="1:5" x14ac:dyDescent="0.35">
      <c r="A578" s="21">
        <v>77010000308</v>
      </c>
      <c r="B578" s="21">
        <v>6</v>
      </c>
      <c r="C578" s="22" t="s">
        <v>12</v>
      </c>
      <c r="D578" s="21">
        <v>4.26</v>
      </c>
      <c r="E578" s="35">
        <v>10</v>
      </c>
    </row>
    <row r="579" spans="1:5" x14ac:dyDescent="0.35">
      <c r="A579" s="21">
        <v>77010000275</v>
      </c>
      <c r="B579" s="21">
        <v>6</v>
      </c>
      <c r="C579" s="22" t="s">
        <v>12</v>
      </c>
      <c r="D579" s="21">
        <v>4.26</v>
      </c>
      <c r="E579" s="35">
        <v>10</v>
      </c>
    </row>
    <row r="580" spans="1:5" x14ac:dyDescent="0.35">
      <c r="A580" s="21">
        <v>77010000310</v>
      </c>
      <c r="B580" s="21">
        <v>6</v>
      </c>
      <c r="C580" s="22" t="s">
        <v>12</v>
      </c>
      <c r="D580" s="21">
        <v>4.26</v>
      </c>
      <c r="E580" s="35">
        <v>10</v>
      </c>
    </row>
    <row r="581" spans="1:5" x14ac:dyDescent="0.35">
      <c r="A581" s="21">
        <v>77010000311</v>
      </c>
      <c r="B581" s="21">
        <v>6</v>
      </c>
      <c r="C581" s="22" t="s">
        <v>12</v>
      </c>
      <c r="D581" s="21">
        <v>4.26</v>
      </c>
      <c r="E581" s="35">
        <v>10</v>
      </c>
    </row>
    <row r="582" spans="1:5" x14ac:dyDescent="0.35">
      <c r="A582" s="21">
        <v>77010000245</v>
      </c>
      <c r="B582" s="21">
        <v>6</v>
      </c>
      <c r="C582" s="22" t="s">
        <v>12</v>
      </c>
      <c r="D582" s="21">
        <v>4.26</v>
      </c>
      <c r="E582" s="35">
        <v>10</v>
      </c>
    </row>
    <row r="583" spans="1:5" x14ac:dyDescent="0.35">
      <c r="A583" s="21">
        <v>77010000259</v>
      </c>
      <c r="B583" s="21">
        <v>6</v>
      </c>
      <c r="C583" s="22" t="s">
        <v>12</v>
      </c>
      <c r="D583" s="21">
        <v>4.26</v>
      </c>
      <c r="E583" s="35">
        <v>10</v>
      </c>
    </row>
    <row r="584" spans="1:5" x14ac:dyDescent="0.35">
      <c r="A584" s="21">
        <v>77010000272</v>
      </c>
      <c r="B584" s="21">
        <v>6</v>
      </c>
      <c r="C584" s="22" t="s">
        <v>12</v>
      </c>
      <c r="D584" s="21">
        <v>4.26</v>
      </c>
      <c r="E584" s="35">
        <v>10</v>
      </c>
    </row>
    <row r="585" spans="1:5" x14ac:dyDescent="0.35">
      <c r="A585" s="21">
        <v>77010000268</v>
      </c>
      <c r="B585" s="21">
        <v>6</v>
      </c>
      <c r="C585" s="22" t="s">
        <v>12</v>
      </c>
      <c r="D585" s="21">
        <v>8.52</v>
      </c>
      <c r="E585" s="35">
        <v>11</v>
      </c>
    </row>
    <row r="586" spans="1:5" x14ac:dyDescent="0.35">
      <c r="A586" s="21">
        <v>77010000279</v>
      </c>
      <c r="B586" s="21">
        <v>6</v>
      </c>
      <c r="C586" s="22" t="s">
        <v>12</v>
      </c>
      <c r="D586" s="21">
        <v>8.52</v>
      </c>
      <c r="E586" s="35">
        <v>11</v>
      </c>
    </row>
    <row r="587" spans="1:5" x14ac:dyDescent="0.35">
      <c r="A587" s="21">
        <v>77010000309</v>
      </c>
      <c r="B587" s="21">
        <v>6</v>
      </c>
      <c r="C587" s="22" t="s">
        <v>12</v>
      </c>
      <c r="D587" s="21">
        <v>8.52</v>
      </c>
      <c r="E587" s="35">
        <v>11</v>
      </c>
    </row>
    <row r="588" spans="1:5" x14ac:dyDescent="0.35">
      <c r="A588" s="21">
        <v>77010000245</v>
      </c>
      <c r="B588" s="21">
        <v>6</v>
      </c>
      <c r="C588" s="22" t="s">
        <v>12</v>
      </c>
      <c r="D588" s="21">
        <v>8.52</v>
      </c>
      <c r="E588" s="35">
        <v>11</v>
      </c>
    </row>
    <row r="589" spans="1:5" x14ac:dyDescent="0.35">
      <c r="A589" s="21">
        <v>77010000253</v>
      </c>
      <c r="B589" s="21">
        <v>6</v>
      </c>
      <c r="C589" s="22" t="s">
        <v>13</v>
      </c>
      <c r="D589" s="21">
        <v>14.87</v>
      </c>
      <c r="E589" s="35">
        <v>12</v>
      </c>
    </row>
    <row r="590" spans="1:5" x14ac:dyDescent="0.35">
      <c r="A590" s="21">
        <v>77010000259</v>
      </c>
      <c r="B590" s="21">
        <v>6</v>
      </c>
      <c r="C590" s="22" t="s">
        <v>12</v>
      </c>
      <c r="D590" s="21">
        <v>8.52</v>
      </c>
      <c r="E590" s="35">
        <v>12</v>
      </c>
    </row>
    <row r="591" spans="1:5" x14ac:dyDescent="0.35">
      <c r="A591" s="21">
        <v>77010000275</v>
      </c>
      <c r="B591" s="21">
        <v>6</v>
      </c>
      <c r="C591" s="22" t="s">
        <v>12</v>
      </c>
      <c r="D591" s="21">
        <v>8.52</v>
      </c>
      <c r="E591" s="35">
        <v>12</v>
      </c>
    </row>
    <row r="592" spans="1:5" x14ac:dyDescent="0.35">
      <c r="A592" s="21">
        <v>77010000276</v>
      </c>
      <c r="B592" s="21">
        <v>6</v>
      </c>
      <c r="C592" s="22" t="s">
        <v>12</v>
      </c>
      <c r="D592" s="21">
        <v>8.52</v>
      </c>
      <c r="E592" s="35">
        <v>12</v>
      </c>
    </row>
    <row r="593" spans="1:5" x14ac:dyDescent="0.35">
      <c r="A593" s="21">
        <v>77010000280</v>
      </c>
      <c r="B593" s="21">
        <v>6</v>
      </c>
      <c r="C593" s="22" t="s">
        <v>12</v>
      </c>
      <c r="D593" s="21">
        <v>8.52</v>
      </c>
      <c r="E593" s="35">
        <v>12</v>
      </c>
    </row>
    <row r="594" spans="1:5" x14ac:dyDescent="0.35">
      <c r="A594" s="21">
        <v>77010000296</v>
      </c>
      <c r="B594" s="21">
        <v>6</v>
      </c>
      <c r="C594" s="22" t="s">
        <v>12</v>
      </c>
      <c r="D594" s="21">
        <v>8.52</v>
      </c>
      <c r="E594" s="35">
        <v>12</v>
      </c>
    </row>
    <row r="595" spans="1:5" x14ac:dyDescent="0.35">
      <c r="A595" s="21">
        <v>77010000311</v>
      </c>
      <c r="B595" s="21">
        <v>6</v>
      </c>
      <c r="C595" s="22" t="s">
        <v>12</v>
      </c>
      <c r="D595" s="21">
        <v>8.52</v>
      </c>
      <c r="E595" s="35">
        <v>12</v>
      </c>
    </row>
    <row r="596" spans="1:5" x14ac:dyDescent="0.35">
      <c r="A596" s="21">
        <v>77010000291</v>
      </c>
      <c r="B596" s="21">
        <v>6</v>
      </c>
      <c r="C596" s="22" t="s">
        <v>12</v>
      </c>
      <c r="D596" s="21">
        <v>8.52</v>
      </c>
      <c r="E596" s="35">
        <v>12</v>
      </c>
    </row>
    <row r="597" spans="1:5" x14ac:dyDescent="0.35">
      <c r="A597" s="21">
        <v>77010000308</v>
      </c>
      <c r="B597" s="21">
        <v>6</v>
      </c>
      <c r="C597" s="22" t="s">
        <v>12</v>
      </c>
      <c r="D597" s="21">
        <v>8.52</v>
      </c>
      <c r="E597" s="35">
        <v>12</v>
      </c>
    </row>
    <row r="598" spans="1:5" x14ac:dyDescent="0.35">
      <c r="A598" s="21">
        <v>77010000272</v>
      </c>
      <c r="B598" s="21">
        <v>6</v>
      </c>
      <c r="C598" s="22" t="s">
        <v>12</v>
      </c>
      <c r="D598" s="21">
        <v>8.52</v>
      </c>
      <c r="E598" s="35">
        <v>13</v>
      </c>
    </row>
    <row r="599" spans="1:5" x14ac:dyDescent="0.35">
      <c r="A599" s="21">
        <v>77010000278</v>
      </c>
      <c r="B599" s="21">
        <v>6</v>
      </c>
      <c r="C599" s="22" t="s">
        <v>12</v>
      </c>
      <c r="D599" s="21">
        <v>8.52</v>
      </c>
      <c r="E599" s="35">
        <v>13</v>
      </c>
    </row>
    <row r="600" spans="1:5" x14ac:dyDescent="0.35">
      <c r="A600" s="21">
        <v>77010000256</v>
      </c>
      <c r="B600" s="21">
        <v>6</v>
      </c>
      <c r="C600" s="22" t="s">
        <v>12</v>
      </c>
      <c r="D600" s="21">
        <v>8.52</v>
      </c>
      <c r="E600" s="35">
        <v>13</v>
      </c>
    </row>
    <row r="601" spans="1:5" x14ac:dyDescent="0.35">
      <c r="A601" s="21">
        <v>77010000292</v>
      </c>
      <c r="B601" s="21">
        <v>6</v>
      </c>
      <c r="C601" s="22" t="s">
        <v>12</v>
      </c>
      <c r="D601" s="21">
        <v>8.52</v>
      </c>
      <c r="E601" s="35">
        <v>13</v>
      </c>
    </row>
    <row r="602" spans="1:5" x14ac:dyDescent="0.35">
      <c r="A602" s="21">
        <v>77010000249</v>
      </c>
      <c r="B602" s="21">
        <v>6</v>
      </c>
      <c r="C602" s="22" t="s">
        <v>15</v>
      </c>
      <c r="D602" s="21">
        <v>24.5</v>
      </c>
      <c r="E602" s="35">
        <v>13</v>
      </c>
    </row>
    <row r="603" spans="1:5" x14ac:dyDescent="0.35">
      <c r="A603" s="21">
        <v>77010000254</v>
      </c>
      <c r="B603" s="21">
        <v>6</v>
      </c>
      <c r="C603" s="22" t="s">
        <v>12</v>
      </c>
      <c r="D603" s="21">
        <v>8.52</v>
      </c>
      <c r="E603" s="35">
        <v>14</v>
      </c>
    </row>
    <row r="604" spans="1:5" x14ac:dyDescent="0.35">
      <c r="A604" s="21">
        <v>77010000277</v>
      </c>
      <c r="B604" s="21">
        <v>6</v>
      </c>
      <c r="C604" s="22" t="s">
        <v>12</v>
      </c>
      <c r="D604" s="21">
        <v>8.52</v>
      </c>
      <c r="E604" s="35">
        <v>14</v>
      </c>
    </row>
    <row r="605" spans="1:5" x14ac:dyDescent="0.35">
      <c r="A605" s="21">
        <v>77010000286</v>
      </c>
      <c r="B605" s="21">
        <v>6</v>
      </c>
      <c r="C605" s="22" t="s">
        <v>12</v>
      </c>
      <c r="D605" s="21">
        <v>8.52</v>
      </c>
      <c r="E605" s="35">
        <v>14</v>
      </c>
    </row>
    <row r="606" spans="1:5" x14ac:dyDescent="0.35">
      <c r="A606" s="21">
        <v>77010000257</v>
      </c>
      <c r="B606" s="21">
        <v>6</v>
      </c>
      <c r="C606" s="22" t="s">
        <v>12</v>
      </c>
      <c r="D606" s="21">
        <v>8.52</v>
      </c>
      <c r="E606" s="35">
        <v>14</v>
      </c>
    </row>
    <row r="607" spans="1:5" x14ac:dyDescent="0.35">
      <c r="A607" s="21">
        <v>77010000280</v>
      </c>
      <c r="B607" s="21">
        <v>6</v>
      </c>
      <c r="C607" s="22" t="s">
        <v>12</v>
      </c>
      <c r="D607" s="21">
        <v>8.52</v>
      </c>
      <c r="E607" s="35">
        <v>14</v>
      </c>
    </row>
    <row r="608" spans="1:5" x14ac:dyDescent="0.35">
      <c r="A608" s="21">
        <v>77010000255</v>
      </c>
      <c r="B608" s="21">
        <v>6</v>
      </c>
      <c r="C608" s="22" t="s">
        <v>12</v>
      </c>
      <c r="D608" s="21">
        <v>8.52</v>
      </c>
      <c r="E608" s="35">
        <v>15</v>
      </c>
    </row>
    <row r="609" spans="1:5" x14ac:dyDescent="0.35">
      <c r="A609" s="21">
        <v>77010000284</v>
      </c>
      <c r="B609" s="21">
        <v>6</v>
      </c>
      <c r="C609" s="22" t="s">
        <v>12</v>
      </c>
      <c r="D609" s="21">
        <v>8.52</v>
      </c>
      <c r="E609" s="35">
        <v>15</v>
      </c>
    </row>
    <row r="610" spans="1:5" x14ac:dyDescent="0.35">
      <c r="A610" s="21">
        <v>77010000297</v>
      </c>
      <c r="B610" s="21">
        <v>6</v>
      </c>
      <c r="C610" s="22" t="s">
        <v>12</v>
      </c>
      <c r="D610" s="21">
        <v>8.52</v>
      </c>
      <c r="E610" s="35">
        <v>15</v>
      </c>
    </row>
    <row r="611" spans="1:5" x14ac:dyDescent="0.35">
      <c r="A611" s="21">
        <v>77010000313</v>
      </c>
      <c r="B611" s="21">
        <v>6</v>
      </c>
      <c r="C611" s="22" t="s">
        <v>12</v>
      </c>
      <c r="D611" s="21">
        <v>8.52</v>
      </c>
      <c r="E611" s="35">
        <v>16</v>
      </c>
    </row>
    <row r="612" spans="1:5" x14ac:dyDescent="0.35">
      <c r="A612" s="21">
        <v>77010000274</v>
      </c>
      <c r="B612" s="21">
        <v>6</v>
      </c>
      <c r="C612" s="22" t="s">
        <v>12</v>
      </c>
      <c r="D612" s="21">
        <v>8.52</v>
      </c>
      <c r="E612" s="35">
        <v>16</v>
      </c>
    </row>
    <row r="613" spans="1:5" x14ac:dyDescent="0.35">
      <c r="A613" s="21">
        <v>77010000260</v>
      </c>
      <c r="B613" s="21">
        <v>6</v>
      </c>
      <c r="C613" s="22" t="s">
        <v>12</v>
      </c>
      <c r="D613" s="21">
        <v>8.52</v>
      </c>
      <c r="E613" s="35">
        <v>16</v>
      </c>
    </row>
    <row r="614" spans="1:5" x14ac:dyDescent="0.35">
      <c r="A614" s="21">
        <v>77010000292</v>
      </c>
      <c r="B614" s="21">
        <v>6</v>
      </c>
      <c r="C614" s="22" t="s">
        <v>12</v>
      </c>
      <c r="D614" s="21">
        <v>8.52</v>
      </c>
      <c r="E614" s="35">
        <v>16</v>
      </c>
    </row>
    <row r="615" spans="1:5" x14ac:dyDescent="0.35">
      <c r="A615" s="21">
        <v>77010000258</v>
      </c>
      <c r="B615" s="21">
        <v>6</v>
      </c>
      <c r="C615" s="22" t="s">
        <v>12</v>
      </c>
      <c r="D615" s="21">
        <v>8.52</v>
      </c>
      <c r="E615" s="35">
        <v>18</v>
      </c>
    </row>
    <row r="616" spans="1:5" x14ac:dyDescent="0.35">
      <c r="A616" s="21">
        <v>77010000307</v>
      </c>
      <c r="B616" s="21">
        <v>6</v>
      </c>
      <c r="C616" s="22" t="s">
        <v>12</v>
      </c>
      <c r="D616" s="21">
        <v>8.52</v>
      </c>
      <c r="E616" s="35">
        <v>18</v>
      </c>
    </row>
    <row r="617" spans="1:5" x14ac:dyDescent="0.35">
      <c r="A617" s="21">
        <v>77010000272</v>
      </c>
      <c r="B617" s="21">
        <v>6</v>
      </c>
      <c r="C617" s="22" t="s">
        <v>12</v>
      </c>
      <c r="D617" s="21">
        <v>8.52</v>
      </c>
      <c r="E617" s="35">
        <v>19</v>
      </c>
    </row>
    <row r="618" spans="1:5" x14ac:dyDescent="0.35">
      <c r="A618" s="21">
        <v>77010000269</v>
      </c>
      <c r="B618" s="21">
        <v>6</v>
      </c>
      <c r="C618" s="22" t="s">
        <v>12</v>
      </c>
      <c r="D618" s="21">
        <v>12.79</v>
      </c>
      <c r="E618" s="35">
        <v>21</v>
      </c>
    </row>
    <row r="619" spans="1:5" x14ac:dyDescent="0.35">
      <c r="A619" s="21">
        <v>77010000283</v>
      </c>
      <c r="B619" s="21">
        <v>6</v>
      </c>
      <c r="C619" s="22" t="s">
        <v>12</v>
      </c>
      <c r="D619" s="21">
        <v>12.79</v>
      </c>
      <c r="E619" s="35">
        <v>22</v>
      </c>
    </row>
    <row r="620" spans="1:5" x14ac:dyDescent="0.35">
      <c r="A620" s="21">
        <v>77010000246</v>
      </c>
      <c r="B620" s="21">
        <v>6</v>
      </c>
      <c r="C620" s="22" t="s">
        <v>12</v>
      </c>
      <c r="D620" s="21">
        <v>12.79</v>
      </c>
      <c r="E620" s="35">
        <v>22</v>
      </c>
    </row>
    <row r="621" spans="1:5" x14ac:dyDescent="0.35">
      <c r="A621" s="21">
        <v>77010000247</v>
      </c>
      <c r="B621" s="21">
        <v>6</v>
      </c>
      <c r="C621" s="22" t="s">
        <v>12</v>
      </c>
      <c r="D621" s="21">
        <v>12.79</v>
      </c>
      <c r="E621" s="35">
        <v>22</v>
      </c>
    </row>
    <row r="622" spans="1:5" x14ac:dyDescent="0.35">
      <c r="A622" s="21">
        <v>77010000278</v>
      </c>
      <c r="B622" s="21">
        <v>6</v>
      </c>
      <c r="C622" s="22" t="s">
        <v>12</v>
      </c>
      <c r="D622" s="21">
        <v>12.79</v>
      </c>
      <c r="E622" s="35">
        <v>22</v>
      </c>
    </row>
    <row r="623" spans="1:5" x14ac:dyDescent="0.35">
      <c r="A623" s="21">
        <v>77010000291</v>
      </c>
      <c r="B623" s="21">
        <v>6</v>
      </c>
      <c r="C623" s="22" t="s">
        <v>12</v>
      </c>
      <c r="D623" s="21">
        <v>12.79</v>
      </c>
      <c r="E623" s="35">
        <v>23</v>
      </c>
    </row>
    <row r="624" spans="1:5" x14ac:dyDescent="0.35">
      <c r="A624" s="23">
        <v>77010000246</v>
      </c>
      <c r="B624" s="23">
        <v>6</v>
      </c>
      <c r="C624" s="24" t="s">
        <v>13</v>
      </c>
      <c r="D624" s="23">
        <v>22.3</v>
      </c>
      <c r="E624" s="36">
        <v>24</v>
      </c>
    </row>
  </sheetData>
  <autoFilter ref="A1:E1" xr:uid="{727BF1D4-9BEA-4351-BDEE-43CBB11BA711}"/>
  <conditionalFormatting sqref="H380">
    <cfRule type="expression" dxfId="1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3"/>
  <sheetViews>
    <sheetView workbookViewId="0">
      <pane ySplit="1" topLeftCell="A86" activePane="bottomLeft" state="frozen"/>
      <selection pane="bottomLeft" activeCell="M18" sqref="M18"/>
    </sheetView>
  </sheetViews>
  <sheetFormatPr defaultRowHeight="14.5" x14ac:dyDescent="0.35"/>
  <cols>
    <col min="1" max="1" width="15" customWidth="1"/>
    <col min="2" max="2" width="12" customWidth="1"/>
    <col min="3" max="3" width="14" customWidth="1"/>
    <col min="4" max="5" width="16" customWidth="1"/>
    <col min="6" max="6" width="14" customWidth="1"/>
  </cols>
  <sheetData>
    <row r="1" spans="1:8" ht="32" customHeight="1" x14ac:dyDescent="0.35">
      <c r="A1" s="48" t="s">
        <v>7</v>
      </c>
      <c r="B1" s="48" t="s">
        <v>8</v>
      </c>
      <c r="C1" s="48" t="s">
        <v>10</v>
      </c>
      <c r="D1" s="48" t="s">
        <v>17</v>
      </c>
      <c r="E1" s="48" t="s">
        <v>18</v>
      </c>
      <c r="F1" s="48" t="s">
        <v>19</v>
      </c>
      <c r="H1" s="49" t="s">
        <v>20</v>
      </c>
    </row>
    <row r="2" spans="1:8" x14ac:dyDescent="0.35">
      <c r="A2" s="45">
        <v>77010000001</v>
      </c>
      <c r="B2" s="46">
        <f>INDEX('База данных'!$B$2:$B$624,MATCH(A2,'База данных'!$A$2:$A$624,0))</f>
        <v>1</v>
      </c>
      <c r="C2" s="47">
        <f>SUMIF('База данных'!$A$2:$A$624,A2,'База данных'!$D$2:$D$624)</f>
        <v>16.149999999999999</v>
      </c>
      <c r="D2" s="46">
        <f>SUMIF('База данных'!$A$2:$A$624,A2,'База данных'!$E$2:$E$624)</f>
        <v>20</v>
      </c>
      <c r="E2" s="46" t="str">
        <f t="shared" ref="E2:E65" si="0">IF(B2=5,D2,"")</f>
        <v/>
      </c>
      <c r="F2" s="46">
        <f t="shared" ref="F2:F65" si="1">RANK(C2,$C$2:$C$293)</f>
        <v>80</v>
      </c>
    </row>
    <row r="3" spans="1:8" x14ac:dyDescent="0.35">
      <c r="A3" s="45">
        <v>77010000002</v>
      </c>
      <c r="B3" s="46">
        <f>INDEX('База данных'!$B$2:$B$624,MATCH(A3,'База данных'!$A$2:$A$624,0))</f>
        <v>1</v>
      </c>
      <c r="C3" s="47">
        <f>SUMIF('База данных'!$A$2:$A$624,A3,'База данных'!$D$2:$D$624)</f>
        <v>6.82</v>
      </c>
      <c r="D3" s="46">
        <f>SUMIF('База данных'!$A$2:$A$624,A3,'База данных'!$E$2:$E$624)</f>
        <v>16</v>
      </c>
      <c r="E3" s="46" t="str">
        <f t="shared" si="0"/>
        <v/>
      </c>
      <c r="F3" s="46">
        <f t="shared" si="1"/>
        <v>209</v>
      </c>
    </row>
    <row r="4" spans="1:8" x14ac:dyDescent="0.35">
      <c r="A4" s="45">
        <v>77010000003</v>
      </c>
      <c r="B4" s="46">
        <f>INDEX('База данных'!$B$2:$B$624,MATCH(A4,'База данных'!$A$2:$A$624,0))</f>
        <v>1</v>
      </c>
      <c r="C4" s="47">
        <f>SUMIF('База данных'!$A$2:$A$624,A4,'База данных'!$D$2:$D$624)</f>
        <v>23.16</v>
      </c>
      <c r="D4" s="46">
        <f>SUMIF('База данных'!$A$2:$A$624,A4,'База данных'!$E$2:$E$624)</f>
        <v>29</v>
      </c>
      <c r="E4" s="46" t="str">
        <f t="shared" si="0"/>
        <v/>
      </c>
      <c r="F4" s="46">
        <f t="shared" si="1"/>
        <v>40</v>
      </c>
    </row>
    <row r="5" spans="1:8" x14ac:dyDescent="0.35">
      <c r="A5" s="45">
        <v>77010000004</v>
      </c>
      <c r="B5" s="46">
        <f>INDEX('База данных'!$B$2:$B$624,MATCH(A5,'База данных'!$A$2:$A$624,0))</f>
        <v>1</v>
      </c>
      <c r="C5" s="47">
        <f>SUMIF('База данных'!$A$2:$A$624,A5,'База данных'!$D$2:$D$624)</f>
        <v>8.9499999999999993</v>
      </c>
      <c r="D5" s="46">
        <f>SUMIF('База данных'!$A$2:$A$624,A5,'База данных'!$E$2:$E$624)</f>
        <v>21</v>
      </c>
      <c r="E5" s="46" t="str">
        <f t="shared" si="0"/>
        <v/>
      </c>
      <c r="F5" s="46">
        <f t="shared" si="1"/>
        <v>172</v>
      </c>
    </row>
    <row r="6" spans="1:8" x14ac:dyDescent="0.35">
      <c r="A6" s="45">
        <v>77010000005</v>
      </c>
      <c r="B6" s="46">
        <f>INDEX('База данных'!$B$2:$B$624,MATCH(A6,'База данных'!$A$2:$A$624,0))</f>
        <v>1</v>
      </c>
      <c r="C6" s="47">
        <f>SUMIF('База данных'!$A$2:$A$624,A6,'База данных'!$D$2:$D$624)</f>
        <v>24.85</v>
      </c>
      <c r="D6" s="46">
        <f>SUMIF('База данных'!$A$2:$A$624,A6,'База данных'!$E$2:$E$624)</f>
        <v>27</v>
      </c>
      <c r="E6" s="46" t="str">
        <f t="shared" si="0"/>
        <v/>
      </c>
      <c r="F6" s="46">
        <f t="shared" si="1"/>
        <v>34</v>
      </c>
    </row>
    <row r="7" spans="1:8" x14ac:dyDescent="0.35">
      <c r="A7" s="45">
        <v>77010000006</v>
      </c>
      <c r="B7" s="46">
        <f>INDEX('База данных'!$B$2:$B$624,MATCH(A7,'База данных'!$A$2:$A$624,0))</f>
        <v>1</v>
      </c>
      <c r="C7" s="47">
        <f>SUMIF('База данных'!$A$2:$A$624,A7,'База данных'!$D$2:$D$624)</f>
        <v>5.54</v>
      </c>
      <c r="D7" s="46">
        <f>SUMIF('База данных'!$A$2:$A$624,A7,'База данных'!$E$2:$E$624)</f>
        <v>20</v>
      </c>
      <c r="E7" s="46" t="str">
        <f t="shared" si="0"/>
        <v/>
      </c>
      <c r="F7" s="46">
        <f t="shared" si="1"/>
        <v>227</v>
      </c>
    </row>
    <row r="8" spans="1:8" x14ac:dyDescent="0.35">
      <c r="A8" s="45">
        <v>77010000007</v>
      </c>
      <c r="B8" s="46">
        <f>INDEX('База данных'!$B$2:$B$624,MATCH(A8,'База данных'!$A$2:$A$624,0))</f>
        <v>1</v>
      </c>
      <c r="C8" s="47">
        <f>SUMIF('База данных'!$A$2:$A$624,A8,'База данных'!$D$2:$D$624)</f>
        <v>15.34</v>
      </c>
      <c r="D8" s="46">
        <f>SUMIF('База данных'!$A$2:$A$624,A8,'База данных'!$E$2:$E$624)</f>
        <v>36</v>
      </c>
      <c r="E8" s="46" t="str">
        <f t="shared" si="0"/>
        <v/>
      </c>
      <c r="F8" s="46">
        <f t="shared" si="1"/>
        <v>90</v>
      </c>
    </row>
    <row r="9" spans="1:8" x14ac:dyDescent="0.35">
      <c r="A9" s="45">
        <v>77010000008</v>
      </c>
      <c r="B9" s="46">
        <f>INDEX('База данных'!$B$2:$B$624,MATCH(A9,'База данных'!$A$2:$A$624,0))</f>
        <v>1</v>
      </c>
      <c r="C9" s="47">
        <f>SUMIF('База данных'!$A$2:$A$624,A9,'База данных'!$D$2:$D$624)</f>
        <v>15.729999999999999</v>
      </c>
      <c r="D9" s="46">
        <f>SUMIF('База данных'!$A$2:$A$624,A9,'База данных'!$E$2:$E$624)</f>
        <v>19</v>
      </c>
      <c r="E9" s="46" t="str">
        <f t="shared" si="0"/>
        <v/>
      </c>
      <c r="F9" s="46">
        <f t="shared" si="1"/>
        <v>86</v>
      </c>
    </row>
    <row r="10" spans="1:8" x14ac:dyDescent="0.35">
      <c r="A10" s="45">
        <v>77010000009</v>
      </c>
      <c r="B10" s="46">
        <f>INDEX('База данных'!$B$2:$B$624,MATCH(A10,'База данных'!$A$2:$A$624,0))</f>
        <v>1</v>
      </c>
      <c r="C10" s="47">
        <f>SUMIF('База данных'!$A$2:$A$624,A10,'База данных'!$D$2:$D$624)</f>
        <v>4.6899999999999995</v>
      </c>
      <c r="D10" s="46">
        <f>SUMIF('База данных'!$A$2:$A$624,A10,'База данных'!$E$2:$E$624)</f>
        <v>11</v>
      </c>
      <c r="E10" s="46" t="str">
        <f t="shared" si="0"/>
        <v/>
      </c>
      <c r="F10" s="46">
        <f t="shared" si="1"/>
        <v>236</v>
      </c>
    </row>
    <row r="11" spans="1:8" x14ac:dyDescent="0.35">
      <c r="A11" s="45">
        <v>77010000010</v>
      </c>
      <c r="B11" s="46">
        <f>INDEX('База данных'!$B$2:$B$624,MATCH(A11,'База данных'!$A$2:$A$624,0))</f>
        <v>1</v>
      </c>
      <c r="C11" s="47">
        <f>SUMIF('База данных'!$A$2:$A$624,A11,'База данных'!$D$2:$D$624)</f>
        <v>9.3699999999999992</v>
      </c>
      <c r="D11" s="46">
        <f>SUMIF('База данных'!$A$2:$A$624,A11,'База данных'!$E$2:$E$624)</f>
        <v>22</v>
      </c>
      <c r="E11" s="46" t="str">
        <f t="shared" si="0"/>
        <v/>
      </c>
      <c r="F11" s="46">
        <f t="shared" si="1"/>
        <v>171</v>
      </c>
    </row>
    <row r="12" spans="1:8" x14ac:dyDescent="0.35">
      <c r="A12" s="45">
        <v>77010000011</v>
      </c>
      <c r="B12" s="46">
        <f>INDEX('База данных'!$B$2:$B$624,MATCH(A12,'База данных'!$A$2:$A$624,0))</f>
        <v>1</v>
      </c>
      <c r="C12" s="47">
        <f>SUMIF('База данных'!$A$2:$A$624,A12,'База данных'!$D$2:$D$624)</f>
        <v>8.52</v>
      </c>
      <c r="D12" s="46">
        <f>SUMIF('База данных'!$A$2:$A$624,A12,'База данных'!$E$2:$E$624)</f>
        <v>20</v>
      </c>
      <c r="E12" s="46" t="str">
        <f t="shared" si="0"/>
        <v/>
      </c>
      <c r="F12" s="46">
        <f t="shared" si="1"/>
        <v>176</v>
      </c>
    </row>
    <row r="13" spans="1:8" x14ac:dyDescent="0.35">
      <c r="A13" s="45">
        <v>77010000012</v>
      </c>
      <c r="B13" s="46">
        <f>INDEX('База данных'!$B$2:$B$624,MATCH(A13,'База данных'!$A$2:$A$624,0))</f>
        <v>1</v>
      </c>
      <c r="C13" s="47">
        <f>SUMIF('База данных'!$A$2:$A$624,A13,'База данных'!$D$2:$D$624)</f>
        <v>5.97</v>
      </c>
      <c r="D13" s="46">
        <f>SUMIF('База данных'!$A$2:$A$624,A13,'База данных'!$E$2:$E$624)</f>
        <v>34</v>
      </c>
      <c r="E13" s="46" t="str">
        <f t="shared" si="0"/>
        <v/>
      </c>
      <c r="F13" s="46">
        <f t="shared" si="1"/>
        <v>223</v>
      </c>
    </row>
    <row r="14" spans="1:8" x14ac:dyDescent="0.35">
      <c r="A14" s="45">
        <v>77010000013</v>
      </c>
      <c r="B14" s="46">
        <f>INDEX('База данных'!$B$2:$B$624,MATCH(A14,'База данных'!$A$2:$A$624,0))</f>
        <v>1</v>
      </c>
      <c r="C14" s="47">
        <f>SUMIF('База данных'!$A$2:$A$624,A14,'База данных'!$D$2:$D$624)</f>
        <v>12.79</v>
      </c>
      <c r="D14" s="46">
        <f>SUMIF('База данных'!$A$2:$A$624,A14,'База данных'!$E$2:$E$624)</f>
        <v>30</v>
      </c>
      <c r="E14" s="46" t="str">
        <f t="shared" si="0"/>
        <v/>
      </c>
      <c r="F14" s="46">
        <f t="shared" si="1"/>
        <v>114</v>
      </c>
    </row>
    <row r="15" spans="1:8" x14ac:dyDescent="0.35">
      <c r="A15" s="45">
        <v>77010000014</v>
      </c>
      <c r="B15" s="46">
        <f>INDEX('База данных'!$B$2:$B$624,MATCH(A15,'База данных'!$A$2:$A$624,0))</f>
        <v>1</v>
      </c>
      <c r="C15" s="47">
        <f>SUMIF('База данных'!$A$2:$A$624,A15,'База данных'!$D$2:$D$624)</f>
        <v>3.41</v>
      </c>
      <c r="D15" s="46">
        <f>SUMIF('База данных'!$A$2:$A$624,A15,'База данных'!$E$2:$E$624)</f>
        <v>8</v>
      </c>
      <c r="E15" s="46" t="str">
        <f t="shared" si="0"/>
        <v/>
      </c>
      <c r="F15" s="46">
        <f t="shared" si="1"/>
        <v>260</v>
      </c>
    </row>
    <row r="16" spans="1:8" x14ac:dyDescent="0.35">
      <c r="A16" s="45">
        <v>77010000015</v>
      </c>
      <c r="B16" s="46">
        <f>INDEX('База данных'!$B$2:$B$624,MATCH(A16,'База данных'!$A$2:$A$624,0))</f>
        <v>1</v>
      </c>
      <c r="C16" s="47">
        <f>SUMIF('База данных'!$A$2:$A$624,A16,'База данных'!$D$2:$D$624)</f>
        <v>21.310000000000002</v>
      </c>
      <c r="D16" s="46">
        <f>SUMIF('База данных'!$A$2:$A$624,A16,'База данных'!$E$2:$E$624)</f>
        <v>50</v>
      </c>
      <c r="E16" s="46" t="str">
        <f t="shared" si="0"/>
        <v/>
      </c>
      <c r="F16" s="46">
        <f t="shared" si="1"/>
        <v>45</v>
      </c>
    </row>
    <row r="17" spans="1:6" x14ac:dyDescent="0.35">
      <c r="A17" s="45">
        <v>77010000016</v>
      </c>
      <c r="B17" s="46">
        <f>INDEX('База данных'!$B$2:$B$624,MATCH(A17,'База данных'!$A$2:$A$624,0))</f>
        <v>1</v>
      </c>
      <c r="C17" s="47">
        <f>SUMIF('База данных'!$A$2:$A$624,A17,'База данных'!$D$2:$D$624)</f>
        <v>6.8199999999999994</v>
      </c>
      <c r="D17" s="46">
        <f>SUMIF('База данных'!$A$2:$A$624,A17,'База данных'!$E$2:$E$624)</f>
        <v>16</v>
      </c>
      <c r="E17" s="46" t="str">
        <f t="shared" si="0"/>
        <v/>
      </c>
      <c r="F17" s="46">
        <f t="shared" si="1"/>
        <v>215</v>
      </c>
    </row>
    <row r="18" spans="1:6" x14ac:dyDescent="0.35">
      <c r="A18" s="45">
        <v>77010000017</v>
      </c>
      <c r="B18" s="46">
        <f>INDEX('База данных'!$B$2:$B$624,MATCH(A18,'База данных'!$A$2:$A$624,0))</f>
        <v>1</v>
      </c>
      <c r="C18" s="47">
        <f>SUMIF('База данных'!$A$2:$A$624,A18,'База данных'!$D$2:$D$624)</f>
        <v>24.93</v>
      </c>
      <c r="D18" s="46">
        <f>SUMIF('База данных'!$A$2:$A$624,A18,'База данных'!$E$2:$E$624)</f>
        <v>10</v>
      </c>
      <c r="E18" s="46" t="str">
        <f t="shared" si="0"/>
        <v/>
      </c>
      <c r="F18" s="46">
        <f t="shared" si="1"/>
        <v>33</v>
      </c>
    </row>
    <row r="19" spans="1:6" x14ac:dyDescent="0.35">
      <c r="A19" s="45">
        <v>77010000018</v>
      </c>
      <c r="B19" s="46">
        <f>INDEX('База данных'!$B$2:$B$624,MATCH(A19,'База данных'!$A$2:$A$624,0))</f>
        <v>1</v>
      </c>
      <c r="C19" s="47">
        <f>SUMIF('База данных'!$A$2:$A$624,A19,'База данных'!$D$2:$D$624)</f>
        <v>6.82</v>
      </c>
      <c r="D19" s="46">
        <f>SUMIF('База данных'!$A$2:$A$624,A19,'База данных'!$E$2:$E$624)</f>
        <v>16</v>
      </c>
      <c r="E19" s="46" t="str">
        <f t="shared" si="0"/>
        <v/>
      </c>
      <c r="F19" s="46">
        <f t="shared" si="1"/>
        <v>209</v>
      </c>
    </row>
    <row r="20" spans="1:6" x14ac:dyDescent="0.35">
      <c r="A20" s="45">
        <v>77010000019</v>
      </c>
      <c r="B20" s="46">
        <f>INDEX('База данных'!$B$2:$B$624,MATCH(A20,'База данных'!$A$2:$A$624,0))</f>
        <v>1</v>
      </c>
      <c r="C20" s="47">
        <f>SUMIF('База данных'!$A$2:$A$624,A20,'База данных'!$D$2:$D$624)</f>
        <v>21.310000000000002</v>
      </c>
      <c r="D20" s="46">
        <f>SUMIF('База данных'!$A$2:$A$624,A20,'База данных'!$E$2:$E$624)</f>
        <v>50</v>
      </c>
      <c r="E20" s="46" t="str">
        <f t="shared" si="0"/>
        <v/>
      </c>
      <c r="F20" s="46">
        <f t="shared" si="1"/>
        <v>45</v>
      </c>
    </row>
    <row r="21" spans="1:6" x14ac:dyDescent="0.35">
      <c r="A21" s="45">
        <v>77010000020</v>
      </c>
      <c r="B21" s="46">
        <f>INDEX('База данных'!$B$2:$B$624,MATCH(A21,'База данных'!$A$2:$A$624,0))</f>
        <v>1</v>
      </c>
      <c r="C21" s="47">
        <f>SUMIF('База данных'!$A$2:$A$624,A21,'База данных'!$D$2:$D$624)</f>
        <v>14.920000000000002</v>
      </c>
      <c r="D21" s="46">
        <f>SUMIF('База данных'!$A$2:$A$624,A21,'База данных'!$E$2:$E$624)</f>
        <v>35</v>
      </c>
      <c r="E21" s="46" t="str">
        <f t="shared" si="0"/>
        <v/>
      </c>
      <c r="F21" s="46">
        <f t="shared" si="1"/>
        <v>93</v>
      </c>
    </row>
    <row r="22" spans="1:6" x14ac:dyDescent="0.35">
      <c r="A22" s="45">
        <v>77010000021</v>
      </c>
      <c r="B22" s="46">
        <f>INDEX('База данных'!$B$2:$B$624,MATCH(A22,'База данных'!$A$2:$A$624,0))</f>
        <v>1</v>
      </c>
      <c r="C22" s="47">
        <f>SUMIF('База данных'!$A$2:$A$624,A22,'База данных'!$D$2:$D$624)</f>
        <v>21.259999999999998</v>
      </c>
      <c r="D22" s="46">
        <f>SUMIF('База данных'!$A$2:$A$624,A22,'База данных'!$E$2:$E$624)</f>
        <v>27</v>
      </c>
      <c r="E22" s="46" t="str">
        <f t="shared" si="0"/>
        <v/>
      </c>
      <c r="F22" s="46">
        <f t="shared" si="1"/>
        <v>50</v>
      </c>
    </row>
    <row r="23" spans="1:6" x14ac:dyDescent="0.35">
      <c r="A23" s="45">
        <v>77010000022</v>
      </c>
      <c r="B23" s="46">
        <f>INDEX('База данных'!$B$2:$B$624,MATCH(A23,'База данных'!$A$2:$A$624,0))</f>
        <v>1</v>
      </c>
      <c r="C23" s="47">
        <f>SUMIF('База данных'!$A$2:$A$624,A23,'База данных'!$D$2:$D$624)</f>
        <v>12.36</v>
      </c>
      <c r="D23" s="46">
        <f>SUMIF('База данных'!$A$2:$A$624,A23,'База данных'!$E$2:$E$624)</f>
        <v>29</v>
      </c>
      <c r="E23" s="46" t="str">
        <f t="shared" si="0"/>
        <v/>
      </c>
      <c r="F23" s="46">
        <f t="shared" si="1"/>
        <v>135</v>
      </c>
    </row>
    <row r="24" spans="1:6" x14ac:dyDescent="0.35">
      <c r="A24" s="45">
        <v>77010000023</v>
      </c>
      <c r="B24" s="46">
        <f>INDEX('База данных'!$B$2:$B$624,MATCH(A24,'База данных'!$A$2:$A$624,0))</f>
        <v>1</v>
      </c>
      <c r="C24" s="47">
        <f>SUMIF('База данных'!$A$2:$A$624,A24,'База данных'!$D$2:$D$624)</f>
        <v>9.379999999999999</v>
      </c>
      <c r="D24" s="46">
        <f>SUMIF('База данных'!$A$2:$A$624,A24,'База данных'!$E$2:$E$624)</f>
        <v>22</v>
      </c>
      <c r="E24" s="46" t="str">
        <f t="shared" si="0"/>
        <v/>
      </c>
      <c r="F24" s="46">
        <f t="shared" si="1"/>
        <v>166</v>
      </c>
    </row>
    <row r="25" spans="1:6" x14ac:dyDescent="0.35">
      <c r="A25" s="45">
        <v>77010000024</v>
      </c>
      <c r="B25" s="46">
        <f>INDEX('База данных'!$B$2:$B$624,MATCH(A25,'База данных'!$A$2:$A$624,0))</f>
        <v>1</v>
      </c>
      <c r="C25" s="47">
        <f>SUMIF('База данных'!$A$2:$A$624,A25,'База данных'!$D$2:$D$624)</f>
        <v>13.64</v>
      </c>
      <c r="D25" s="46">
        <f>SUMIF('База данных'!$A$2:$A$624,A25,'База данных'!$E$2:$E$624)</f>
        <v>32</v>
      </c>
      <c r="E25" s="46" t="str">
        <f t="shared" si="0"/>
        <v/>
      </c>
      <c r="F25" s="46">
        <f t="shared" si="1"/>
        <v>103</v>
      </c>
    </row>
    <row r="26" spans="1:6" x14ac:dyDescent="0.35">
      <c r="A26" s="45">
        <v>77010000025</v>
      </c>
      <c r="B26" s="46">
        <f>INDEX('База данных'!$B$2:$B$624,MATCH(A26,'База данных'!$A$2:$A$624,0))</f>
        <v>1</v>
      </c>
      <c r="C26" s="47">
        <f>SUMIF('База данных'!$A$2:$A$624,A26,'База данных'!$D$2:$D$624)</f>
        <v>15.34</v>
      </c>
      <c r="D26" s="46">
        <f>SUMIF('База данных'!$A$2:$A$624,A26,'База данных'!$E$2:$E$624)</f>
        <v>36</v>
      </c>
      <c r="E26" s="46" t="str">
        <f t="shared" si="0"/>
        <v/>
      </c>
      <c r="F26" s="46">
        <f t="shared" si="1"/>
        <v>90</v>
      </c>
    </row>
    <row r="27" spans="1:6" x14ac:dyDescent="0.35">
      <c r="A27" s="45">
        <v>77010000026</v>
      </c>
      <c r="B27" s="46">
        <f>INDEX('База данных'!$B$2:$B$624,MATCH(A27,'База данных'!$A$2:$A$624,0))</f>
        <v>1</v>
      </c>
      <c r="C27" s="47">
        <f>SUMIF('База данных'!$A$2:$A$624,A27,'База данных'!$D$2:$D$624)</f>
        <v>13.629999999999999</v>
      </c>
      <c r="D27" s="46">
        <f>SUMIF('База данных'!$A$2:$A$624,A27,'База данных'!$E$2:$E$624)</f>
        <v>32</v>
      </c>
      <c r="E27" s="46" t="str">
        <f t="shared" si="0"/>
        <v/>
      </c>
      <c r="F27" s="46">
        <f t="shared" si="1"/>
        <v>107</v>
      </c>
    </row>
    <row r="28" spans="1:6" x14ac:dyDescent="0.35">
      <c r="A28" s="45">
        <v>77010000027</v>
      </c>
      <c r="B28" s="46">
        <f>INDEX('База данных'!$B$2:$B$624,MATCH(A28,'База данных'!$A$2:$A$624,0))</f>
        <v>1</v>
      </c>
      <c r="C28" s="47">
        <f>SUMIF('База данных'!$A$2:$A$624,A28,'База данных'!$D$2:$D$624)</f>
        <v>14.25</v>
      </c>
      <c r="D28" s="46">
        <f>SUMIF('База данных'!$A$2:$A$624,A28,'База данных'!$E$2:$E$624)</f>
        <v>26</v>
      </c>
      <c r="E28" s="46" t="str">
        <f t="shared" si="0"/>
        <v/>
      </c>
      <c r="F28" s="46">
        <f t="shared" si="1"/>
        <v>97</v>
      </c>
    </row>
    <row r="29" spans="1:6" x14ac:dyDescent="0.35">
      <c r="A29" s="45">
        <v>77010000028</v>
      </c>
      <c r="B29" s="46">
        <f>INDEX('База данных'!$B$2:$B$624,MATCH(A29,'База данных'!$A$2:$A$624,0))</f>
        <v>1</v>
      </c>
      <c r="C29" s="47">
        <f>SUMIF('База данных'!$A$2:$A$624,A29,'База данных'!$D$2:$D$624)</f>
        <v>14.07</v>
      </c>
      <c r="D29" s="46">
        <f>SUMIF('База данных'!$A$2:$A$624,A29,'База данных'!$E$2:$E$624)</f>
        <v>33</v>
      </c>
      <c r="E29" s="46" t="str">
        <f t="shared" si="0"/>
        <v/>
      </c>
      <c r="F29" s="46">
        <f t="shared" si="1"/>
        <v>99</v>
      </c>
    </row>
    <row r="30" spans="1:6" x14ac:dyDescent="0.35">
      <c r="A30" s="45">
        <v>77010000029</v>
      </c>
      <c r="B30" s="46">
        <f>INDEX('База данных'!$B$2:$B$624,MATCH(A30,'База данных'!$A$2:$A$624,0))</f>
        <v>1</v>
      </c>
      <c r="C30" s="47">
        <f>SUMIF('База данных'!$A$2:$A$624,A30,'База данных'!$D$2:$D$624)</f>
        <v>21.259999999999998</v>
      </c>
      <c r="D30" s="46">
        <f>SUMIF('База данных'!$A$2:$A$624,A30,'База данных'!$E$2:$E$624)</f>
        <v>27</v>
      </c>
      <c r="E30" s="46" t="str">
        <f t="shared" si="0"/>
        <v/>
      </c>
      <c r="F30" s="46">
        <f t="shared" si="1"/>
        <v>50</v>
      </c>
    </row>
    <row r="31" spans="1:6" x14ac:dyDescent="0.35">
      <c r="A31" s="45">
        <v>77010000030</v>
      </c>
      <c r="B31" s="46">
        <f>INDEX('База данных'!$B$2:$B$624,MATCH(A31,'База данных'!$A$2:$A$624,0))</f>
        <v>1</v>
      </c>
      <c r="C31" s="47">
        <f>SUMIF('База данных'!$A$2:$A$624,A31,'База данных'!$D$2:$D$624)</f>
        <v>26.38</v>
      </c>
      <c r="D31" s="46">
        <f>SUMIF('База данных'!$A$2:$A$624,A31,'База данных'!$E$2:$E$624)</f>
        <v>43</v>
      </c>
      <c r="E31" s="46" t="str">
        <f t="shared" si="0"/>
        <v/>
      </c>
      <c r="F31" s="46">
        <f t="shared" si="1"/>
        <v>29</v>
      </c>
    </row>
    <row r="32" spans="1:6" x14ac:dyDescent="0.35">
      <c r="A32" s="45">
        <v>77010000031</v>
      </c>
      <c r="B32" s="46">
        <f>INDEX('База данных'!$B$2:$B$624,MATCH(A32,'База данных'!$A$2:$A$624,0))</f>
        <v>1</v>
      </c>
      <c r="C32" s="47">
        <f>SUMIF('База данных'!$A$2:$A$624,A32,'База данных'!$D$2:$D$624)</f>
        <v>6.82</v>
      </c>
      <c r="D32" s="46">
        <f>SUMIF('База данных'!$A$2:$A$624,A32,'База данных'!$E$2:$E$624)</f>
        <v>16</v>
      </c>
      <c r="E32" s="46" t="str">
        <f t="shared" si="0"/>
        <v/>
      </c>
      <c r="F32" s="46">
        <f t="shared" si="1"/>
        <v>209</v>
      </c>
    </row>
    <row r="33" spans="1:6" x14ac:dyDescent="0.35">
      <c r="A33" s="45">
        <v>77010000032</v>
      </c>
      <c r="B33" s="46">
        <f>INDEX('База данных'!$B$2:$B$624,MATCH(A33,'База данных'!$A$2:$A$624,0))</f>
        <v>1</v>
      </c>
      <c r="C33" s="47">
        <f>SUMIF('База данных'!$A$2:$A$624,A33,'База данных'!$D$2:$D$624)</f>
        <v>11.08</v>
      </c>
      <c r="D33" s="46">
        <f>SUMIF('База данных'!$A$2:$A$624,A33,'База данных'!$E$2:$E$624)</f>
        <v>26</v>
      </c>
      <c r="E33" s="46" t="str">
        <f t="shared" si="0"/>
        <v/>
      </c>
      <c r="F33" s="46">
        <f t="shared" si="1"/>
        <v>147</v>
      </c>
    </row>
    <row r="34" spans="1:6" x14ac:dyDescent="0.35">
      <c r="A34" s="45">
        <v>77010000033</v>
      </c>
      <c r="B34" s="46">
        <f>INDEX('База данных'!$B$2:$B$624,MATCH(A34,'База данных'!$A$2:$A$624,0))</f>
        <v>1</v>
      </c>
      <c r="C34" s="47">
        <f>SUMIF('База данных'!$A$2:$A$624,A34,'База данных'!$D$2:$D$624)</f>
        <v>17.43</v>
      </c>
      <c r="D34" s="46">
        <f>SUMIF('База данных'!$A$2:$A$624,A34,'База данных'!$E$2:$E$624)</f>
        <v>24</v>
      </c>
      <c r="E34" s="46" t="str">
        <f t="shared" si="0"/>
        <v/>
      </c>
      <c r="F34" s="46">
        <f t="shared" si="1"/>
        <v>72</v>
      </c>
    </row>
    <row r="35" spans="1:6" x14ac:dyDescent="0.35">
      <c r="A35" s="45">
        <v>77010000034</v>
      </c>
      <c r="B35" s="46">
        <f>INDEX('База данных'!$B$2:$B$624,MATCH(A35,'База данных'!$A$2:$A$624,0))</f>
        <v>1</v>
      </c>
      <c r="C35" s="47">
        <f>SUMIF('База данных'!$A$2:$A$624,A35,'База данных'!$D$2:$D$624)</f>
        <v>10.23</v>
      </c>
      <c r="D35" s="46">
        <f>SUMIF('База данных'!$A$2:$A$624,A35,'База данных'!$E$2:$E$624)</f>
        <v>24</v>
      </c>
      <c r="E35" s="46" t="str">
        <f t="shared" si="0"/>
        <v/>
      </c>
      <c r="F35" s="46">
        <f t="shared" si="1"/>
        <v>157</v>
      </c>
    </row>
    <row r="36" spans="1:6" x14ac:dyDescent="0.35">
      <c r="A36" s="45">
        <v>77010000035</v>
      </c>
      <c r="B36" s="46">
        <f>INDEX('База данных'!$B$2:$B$624,MATCH(A36,'База данных'!$A$2:$A$624,0))</f>
        <v>1</v>
      </c>
      <c r="C36" s="47">
        <f>SUMIF('База данных'!$A$2:$A$624,A36,'База данных'!$D$2:$D$624)</f>
        <v>11.93</v>
      </c>
      <c r="D36" s="46">
        <f>SUMIF('База данных'!$A$2:$A$624,A36,'База данных'!$E$2:$E$624)</f>
        <v>28</v>
      </c>
      <c r="E36" s="46" t="str">
        <f t="shared" si="0"/>
        <v/>
      </c>
      <c r="F36" s="46">
        <f t="shared" si="1"/>
        <v>140</v>
      </c>
    </row>
    <row r="37" spans="1:6" x14ac:dyDescent="0.35">
      <c r="A37" s="45">
        <v>77010000036</v>
      </c>
      <c r="B37" s="46">
        <f>INDEX('База данных'!$B$2:$B$624,MATCH(A37,'База данных'!$A$2:$A$624,0))</f>
        <v>1</v>
      </c>
      <c r="C37" s="47">
        <f>SUMIF('База данных'!$A$2:$A$624,A37,'База данных'!$D$2:$D$624)</f>
        <v>13.22</v>
      </c>
      <c r="D37" s="46">
        <f>SUMIF('База данных'!$A$2:$A$624,A37,'База данных'!$E$2:$E$624)</f>
        <v>31</v>
      </c>
      <c r="E37" s="46" t="str">
        <f t="shared" si="0"/>
        <v/>
      </c>
      <c r="F37" s="46">
        <f t="shared" si="1"/>
        <v>108</v>
      </c>
    </row>
    <row r="38" spans="1:6" x14ac:dyDescent="0.35">
      <c r="A38" s="45">
        <v>77010000037</v>
      </c>
      <c r="B38" s="46">
        <f>INDEX('База данных'!$B$2:$B$624,MATCH(A38,'База данных'!$A$2:$A$624,0))</f>
        <v>1</v>
      </c>
      <c r="C38" s="47">
        <f>SUMIF('База данных'!$A$2:$A$624,A38,'База данных'!$D$2:$D$624)</f>
        <v>19.37</v>
      </c>
      <c r="D38" s="46">
        <f>SUMIF('База данных'!$A$2:$A$624,A38,'База данных'!$E$2:$E$624)</f>
        <v>30</v>
      </c>
      <c r="E38" s="46" t="str">
        <f t="shared" si="0"/>
        <v/>
      </c>
      <c r="F38" s="46">
        <f t="shared" si="1"/>
        <v>60</v>
      </c>
    </row>
    <row r="39" spans="1:6" x14ac:dyDescent="0.35">
      <c r="A39" s="45">
        <v>77010000038</v>
      </c>
      <c r="B39" s="46">
        <f>INDEX('База данных'!$B$2:$B$624,MATCH(A39,'База данных'!$A$2:$A$624,0))</f>
        <v>1</v>
      </c>
      <c r="C39" s="47">
        <f>SUMIF('База данных'!$A$2:$A$624,A39,'База данных'!$D$2:$D$624)</f>
        <v>27.23</v>
      </c>
      <c r="D39" s="46">
        <f>SUMIF('База данных'!$A$2:$A$624,A39,'База данных'!$E$2:$E$624)</f>
        <v>43</v>
      </c>
      <c r="E39" s="46" t="str">
        <f t="shared" si="0"/>
        <v/>
      </c>
      <c r="F39" s="46">
        <f t="shared" si="1"/>
        <v>25</v>
      </c>
    </row>
    <row r="40" spans="1:6" x14ac:dyDescent="0.35">
      <c r="A40" s="45">
        <v>77010000039</v>
      </c>
      <c r="B40" s="46">
        <f>INDEX('База данных'!$B$2:$B$624,MATCH(A40,'База данных'!$A$2:$A$624,0))</f>
        <v>1</v>
      </c>
      <c r="C40" s="47">
        <f>SUMIF('База данных'!$A$2:$A$624,A40,'База данных'!$D$2:$D$624)</f>
        <v>12.780000000000001</v>
      </c>
      <c r="D40" s="46">
        <f>SUMIF('База данных'!$A$2:$A$624,A40,'База данных'!$E$2:$E$624)</f>
        <v>30</v>
      </c>
      <c r="E40" s="46" t="str">
        <f t="shared" si="0"/>
        <v/>
      </c>
      <c r="F40" s="46">
        <f t="shared" si="1"/>
        <v>116</v>
      </c>
    </row>
    <row r="41" spans="1:6" x14ac:dyDescent="0.35">
      <c r="A41" s="45">
        <v>77010000040</v>
      </c>
      <c r="B41" s="46">
        <f>INDEX('База данных'!$B$2:$B$624,MATCH(A41,'База данных'!$A$2:$A$624,0))</f>
        <v>1</v>
      </c>
      <c r="C41" s="47">
        <f>SUMIF('База данных'!$A$2:$A$624,A41,'База данных'!$D$2:$D$624)</f>
        <v>9.8099999999999987</v>
      </c>
      <c r="D41" s="46">
        <f>SUMIF('База данных'!$A$2:$A$624,A41,'База данных'!$E$2:$E$624)</f>
        <v>23</v>
      </c>
      <c r="E41" s="46" t="str">
        <f t="shared" si="0"/>
        <v/>
      </c>
      <c r="F41" s="46">
        <f t="shared" si="1"/>
        <v>161</v>
      </c>
    </row>
    <row r="42" spans="1:6" x14ac:dyDescent="0.35">
      <c r="A42" s="45">
        <v>77010000041</v>
      </c>
      <c r="B42" s="46">
        <f>INDEX('База данных'!$B$2:$B$624,MATCH(A42,'База данных'!$A$2:$A$624,0))</f>
        <v>1</v>
      </c>
      <c r="C42" s="47">
        <f>SUMIF('База данных'!$A$2:$A$624,A42,'База данных'!$D$2:$D$624)</f>
        <v>23.01</v>
      </c>
      <c r="D42" s="46">
        <f>SUMIF('База данных'!$A$2:$A$624,A42,'База данных'!$E$2:$E$624)</f>
        <v>54</v>
      </c>
      <c r="E42" s="46" t="str">
        <f t="shared" si="0"/>
        <v/>
      </c>
      <c r="F42" s="46">
        <f t="shared" si="1"/>
        <v>41</v>
      </c>
    </row>
    <row r="43" spans="1:6" x14ac:dyDescent="0.35">
      <c r="A43" s="45">
        <v>77010000042</v>
      </c>
      <c r="B43" s="46">
        <f>INDEX('База данных'!$B$2:$B$624,MATCH(A43,'База данных'!$A$2:$A$624,0))</f>
        <v>1</v>
      </c>
      <c r="C43" s="47">
        <f>SUMIF('База данных'!$A$2:$A$624,A43,'База данных'!$D$2:$D$624)</f>
        <v>16.8</v>
      </c>
      <c r="D43" s="46">
        <f>SUMIF('База данных'!$A$2:$A$624,A43,'База данных'!$E$2:$E$624)</f>
        <v>23</v>
      </c>
      <c r="E43" s="46" t="str">
        <f t="shared" si="0"/>
        <v/>
      </c>
      <c r="F43" s="46">
        <f t="shared" si="1"/>
        <v>77</v>
      </c>
    </row>
    <row r="44" spans="1:6" x14ac:dyDescent="0.35">
      <c r="A44" s="45">
        <v>77010000043</v>
      </c>
      <c r="B44" s="46">
        <f>INDEX('База данных'!$B$2:$B$624,MATCH(A44,'База данных'!$A$2:$A$624,0))</f>
        <v>1</v>
      </c>
      <c r="C44" s="47">
        <f>SUMIF('База данных'!$A$2:$A$624,A44,'База данных'!$D$2:$D$624)</f>
        <v>16.2</v>
      </c>
      <c r="D44" s="46">
        <f>SUMIF('База данных'!$A$2:$A$624,A44,'База данных'!$E$2:$E$624)</f>
        <v>38</v>
      </c>
      <c r="E44" s="46" t="str">
        <f t="shared" si="0"/>
        <v/>
      </c>
      <c r="F44" s="46">
        <f t="shared" si="1"/>
        <v>79</v>
      </c>
    </row>
    <row r="45" spans="1:6" x14ac:dyDescent="0.35">
      <c r="A45" s="45">
        <v>77010000044</v>
      </c>
      <c r="B45" s="46">
        <f>INDEX('База данных'!$B$2:$B$624,MATCH(A45,'База данных'!$A$2:$A$624,0))</f>
        <v>1</v>
      </c>
      <c r="C45" s="47">
        <f>SUMIF('База данных'!$A$2:$A$624,A45,'База данных'!$D$2:$D$624)</f>
        <v>13.15</v>
      </c>
      <c r="D45" s="46">
        <f>SUMIF('База данных'!$A$2:$A$624,A45,'База данных'!$E$2:$E$624)</f>
        <v>47</v>
      </c>
      <c r="E45" s="46" t="str">
        <f t="shared" si="0"/>
        <v/>
      </c>
      <c r="F45" s="46">
        <f t="shared" si="1"/>
        <v>112</v>
      </c>
    </row>
    <row r="46" spans="1:6" x14ac:dyDescent="0.35">
      <c r="A46" s="45">
        <v>77010000045</v>
      </c>
      <c r="B46" s="46">
        <f>INDEX('База данных'!$B$2:$B$624,MATCH(A46,'База данных'!$A$2:$A$624,0))</f>
        <v>1</v>
      </c>
      <c r="C46" s="47">
        <f>SUMIF('База данных'!$A$2:$A$624,A46,'База данных'!$D$2:$D$624)</f>
        <v>4.6899999999999995</v>
      </c>
      <c r="D46" s="46">
        <f>SUMIF('База данных'!$A$2:$A$624,A46,'База данных'!$E$2:$E$624)</f>
        <v>11</v>
      </c>
      <c r="E46" s="46" t="str">
        <f t="shared" si="0"/>
        <v/>
      </c>
      <c r="F46" s="46">
        <f t="shared" si="1"/>
        <v>236</v>
      </c>
    </row>
    <row r="47" spans="1:6" x14ac:dyDescent="0.35">
      <c r="A47" s="45">
        <v>77010000046</v>
      </c>
      <c r="B47" s="46">
        <f>INDEX('База данных'!$B$2:$B$624,MATCH(A47,'База данных'!$A$2:$A$624,0))</f>
        <v>1</v>
      </c>
      <c r="C47" s="47">
        <f>SUMIF('База данных'!$A$2:$A$624,A47,'База данных'!$D$2:$D$624)</f>
        <v>7.25</v>
      </c>
      <c r="D47" s="46">
        <f>SUMIF('База данных'!$A$2:$A$624,A47,'База данных'!$E$2:$E$624)</f>
        <v>17</v>
      </c>
      <c r="E47" s="46" t="str">
        <f t="shared" si="0"/>
        <v/>
      </c>
      <c r="F47" s="46">
        <f t="shared" si="1"/>
        <v>207</v>
      </c>
    </row>
    <row r="48" spans="1:6" x14ac:dyDescent="0.35">
      <c r="A48" s="45">
        <v>77010000047</v>
      </c>
      <c r="B48" s="46">
        <f>INDEX('База данных'!$B$2:$B$624,MATCH(A48,'База данных'!$A$2:$A$624,0))</f>
        <v>1</v>
      </c>
      <c r="C48" s="47">
        <f>SUMIF('База данных'!$A$2:$A$624,A48,'База данных'!$D$2:$D$624)</f>
        <v>22.16</v>
      </c>
      <c r="D48" s="46">
        <f>SUMIF('База данных'!$A$2:$A$624,A48,'База данных'!$E$2:$E$624)</f>
        <v>52</v>
      </c>
      <c r="E48" s="46" t="str">
        <f t="shared" si="0"/>
        <v/>
      </c>
      <c r="F48" s="46">
        <f t="shared" si="1"/>
        <v>44</v>
      </c>
    </row>
    <row r="49" spans="1:6" x14ac:dyDescent="0.35">
      <c r="A49" s="45">
        <v>77010000048</v>
      </c>
      <c r="B49" s="46">
        <f>INDEX('База данных'!$B$2:$B$624,MATCH(A49,'База данных'!$A$2:$A$624,0))</f>
        <v>1</v>
      </c>
      <c r="C49" s="47">
        <f>SUMIF('База данных'!$A$2:$A$624,A49,'База данных'!$D$2:$D$624)</f>
        <v>5.96</v>
      </c>
      <c r="D49" s="46">
        <f>SUMIF('База данных'!$A$2:$A$624,A49,'База данных'!$E$2:$E$624)</f>
        <v>14</v>
      </c>
      <c r="E49" s="46" t="str">
        <f t="shared" si="0"/>
        <v/>
      </c>
      <c r="F49" s="46">
        <f t="shared" si="1"/>
        <v>225</v>
      </c>
    </row>
    <row r="50" spans="1:6" x14ac:dyDescent="0.35">
      <c r="A50" s="45">
        <v>77010000049</v>
      </c>
      <c r="B50" s="46">
        <f>INDEX('База данных'!$B$2:$B$624,MATCH(A50,'База данных'!$A$2:$A$624,0))</f>
        <v>1</v>
      </c>
      <c r="C50" s="47">
        <f>SUMIF('База данных'!$A$2:$A$624,A50,'База данных'!$D$2:$D$624)</f>
        <v>15.34</v>
      </c>
      <c r="D50" s="46">
        <f>SUMIF('База данных'!$A$2:$A$624,A50,'База данных'!$E$2:$E$624)</f>
        <v>36</v>
      </c>
      <c r="E50" s="46" t="str">
        <f t="shared" si="0"/>
        <v/>
      </c>
      <c r="F50" s="46">
        <f t="shared" si="1"/>
        <v>90</v>
      </c>
    </row>
    <row r="51" spans="1:6" x14ac:dyDescent="0.35">
      <c r="A51" s="45">
        <v>77010000050</v>
      </c>
      <c r="B51" s="46">
        <f>INDEX('База данных'!$B$2:$B$624,MATCH(A51,'База данных'!$A$2:$A$624,0))</f>
        <v>1</v>
      </c>
      <c r="C51" s="47">
        <f>SUMIF('База данных'!$A$2:$A$624,A51,'База данных'!$D$2:$D$624)</f>
        <v>23.45</v>
      </c>
      <c r="D51" s="46">
        <f>SUMIF('База данных'!$A$2:$A$624,A51,'База данных'!$E$2:$E$624)</f>
        <v>55</v>
      </c>
      <c r="E51" s="46" t="str">
        <f t="shared" si="0"/>
        <v/>
      </c>
      <c r="F51" s="46">
        <f t="shared" si="1"/>
        <v>37</v>
      </c>
    </row>
    <row r="52" spans="1:6" x14ac:dyDescent="0.35">
      <c r="A52" s="45">
        <v>77010000051</v>
      </c>
      <c r="B52" s="46">
        <f>INDEX('База данных'!$B$2:$B$624,MATCH(A52,'База данных'!$A$2:$A$624,0))</f>
        <v>1</v>
      </c>
      <c r="C52" s="47">
        <f>SUMIF('База данных'!$A$2:$A$624,A52,'База данных'!$D$2:$D$624)</f>
        <v>43.44</v>
      </c>
      <c r="D52" s="46">
        <f>SUMIF('База данных'!$A$2:$A$624,A52,'База данных'!$E$2:$E$624)</f>
        <v>39</v>
      </c>
      <c r="E52" s="46" t="str">
        <f t="shared" si="0"/>
        <v/>
      </c>
      <c r="F52" s="46">
        <f t="shared" si="1"/>
        <v>6</v>
      </c>
    </row>
    <row r="53" spans="1:6" x14ac:dyDescent="0.35">
      <c r="A53" s="45">
        <v>77010000052</v>
      </c>
      <c r="B53" s="46">
        <f>INDEX('База данных'!$B$2:$B$624,MATCH(A53,'База данных'!$A$2:$A$624,0))</f>
        <v>1</v>
      </c>
      <c r="C53" s="47">
        <f>SUMIF('База данных'!$A$2:$A$624,A53,'База данных'!$D$2:$D$624)</f>
        <v>11.93</v>
      </c>
      <c r="D53" s="46">
        <f>SUMIF('База данных'!$A$2:$A$624,A53,'База данных'!$E$2:$E$624)</f>
        <v>28</v>
      </c>
      <c r="E53" s="46" t="str">
        <f t="shared" si="0"/>
        <v/>
      </c>
      <c r="F53" s="46">
        <f t="shared" si="1"/>
        <v>140</v>
      </c>
    </row>
    <row r="54" spans="1:6" x14ac:dyDescent="0.35">
      <c r="A54" s="45">
        <v>77010000053</v>
      </c>
      <c r="B54" s="46">
        <f>INDEX('База данных'!$B$2:$B$624,MATCH(A54,'База данных'!$A$2:$A$624,0))</f>
        <v>1</v>
      </c>
      <c r="C54" s="47">
        <f>SUMIF('База данных'!$A$2:$A$624,A54,'База данных'!$D$2:$D$624)</f>
        <v>41.550000000000004</v>
      </c>
      <c r="D54" s="46">
        <f>SUMIF('База данных'!$A$2:$A$624,A54,'База данных'!$E$2:$E$624)</f>
        <v>46</v>
      </c>
      <c r="E54" s="46" t="str">
        <f t="shared" si="0"/>
        <v/>
      </c>
      <c r="F54" s="46">
        <f t="shared" si="1"/>
        <v>8</v>
      </c>
    </row>
    <row r="55" spans="1:6" x14ac:dyDescent="0.35">
      <c r="A55" s="45">
        <v>77010000054</v>
      </c>
      <c r="B55" s="46">
        <f>INDEX('База данных'!$B$2:$B$624,MATCH(A55,'База данных'!$A$2:$A$624,0))</f>
        <v>1</v>
      </c>
      <c r="C55" s="47">
        <f>SUMIF('База данных'!$A$2:$A$624,A55,'База данных'!$D$2:$D$624)</f>
        <v>23.39</v>
      </c>
      <c r="D55" s="46">
        <f>SUMIF('База данных'!$A$2:$A$624,A55,'База данных'!$E$2:$E$624)</f>
        <v>32</v>
      </c>
      <c r="E55" s="46" t="str">
        <f t="shared" si="0"/>
        <v/>
      </c>
      <c r="F55" s="46">
        <f t="shared" si="1"/>
        <v>38</v>
      </c>
    </row>
    <row r="56" spans="1:6" x14ac:dyDescent="0.35">
      <c r="A56" s="45">
        <v>77010000055</v>
      </c>
      <c r="B56" s="46">
        <f>INDEX('База данных'!$B$2:$B$624,MATCH(A56,'База данных'!$A$2:$A$624,0))</f>
        <v>1</v>
      </c>
      <c r="C56" s="47">
        <f>SUMIF('База данных'!$A$2:$A$624,A56,'База данных'!$D$2:$D$624)</f>
        <v>52.199999999999996</v>
      </c>
      <c r="D56" s="46">
        <f>SUMIF('База данных'!$A$2:$A$624,A56,'База данных'!$E$2:$E$624)</f>
        <v>76</v>
      </c>
      <c r="E56" s="46" t="str">
        <f t="shared" si="0"/>
        <v/>
      </c>
      <c r="F56" s="46">
        <f t="shared" si="1"/>
        <v>3</v>
      </c>
    </row>
    <row r="57" spans="1:6" x14ac:dyDescent="0.35">
      <c r="A57" s="45">
        <v>77010000056</v>
      </c>
      <c r="B57" s="46">
        <f>INDEX('База данных'!$B$2:$B$624,MATCH(A57,'База данных'!$A$2:$A$624,0))</f>
        <v>1</v>
      </c>
      <c r="C57" s="47">
        <f>SUMIF('База данных'!$A$2:$A$624,A57,'База данных'!$D$2:$D$624)</f>
        <v>23.2</v>
      </c>
      <c r="D57" s="46">
        <f>SUMIF('База данных'!$A$2:$A$624,A57,'База данных'!$E$2:$E$624)</f>
        <v>43</v>
      </c>
      <c r="E57" s="46" t="str">
        <f t="shared" si="0"/>
        <v/>
      </c>
      <c r="F57" s="46">
        <f t="shared" si="1"/>
        <v>39</v>
      </c>
    </row>
    <row r="58" spans="1:6" x14ac:dyDescent="0.35">
      <c r="A58" s="45">
        <v>77010000057</v>
      </c>
      <c r="B58" s="46">
        <f>INDEX('База данных'!$B$2:$B$624,MATCH(A58,'База данных'!$A$2:$A$624,0))</f>
        <v>1</v>
      </c>
      <c r="C58" s="47">
        <f>SUMIF('База данных'!$A$2:$A$624,A58,'База данных'!$D$2:$D$624)</f>
        <v>17.47</v>
      </c>
      <c r="D58" s="46">
        <f>SUMIF('База данных'!$A$2:$A$624,A58,'База данных'!$E$2:$E$624)</f>
        <v>41</v>
      </c>
      <c r="E58" s="46" t="str">
        <f t="shared" si="0"/>
        <v/>
      </c>
      <c r="F58" s="46">
        <f t="shared" si="1"/>
        <v>70</v>
      </c>
    </row>
    <row r="59" spans="1:6" x14ac:dyDescent="0.35">
      <c r="A59" s="45">
        <v>77010000058</v>
      </c>
      <c r="B59" s="46">
        <f>INDEX('База данных'!$B$2:$B$624,MATCH(A59,'База данных'!$A$2:$A$624,0))</f>
        <v>1</v>
      </c>
      <c r="C59" s="47">
        <f>SUMIF('База данных'!$A$2:$A$624,A59,'База данных'!$D$2:$D$624)</f>
        <v>20.21</v>
      </c>
      <c r="D59" s="46">
        <f>SUMIF('База данных'!$A$2:$A$624,A59,'База данных'!$E$2:$E$624)</f>
        <v>39</v>
      </c>
      <c r="E59" s="46" t="str">
        <f t="shared" si="0"/>
        <v/>
      </c>
      <c r="F59" s="46">
        <f t="shared" si="1"/>
        <v>56</v>
      </c>
    </row>
    <row r="60" spans="1:6" x14ac:dyDescent="0.35">
      <c r="A60" s="45">
        <v>77010000059</v>
      </c>
      <c r="B60" s="46">
        <f>INDEX('База данных'!$B$2:$B$624,MATCH(A60,'База данных'!$A$2:$A$624,0))</f>
        <v>1</v>
      </c>
      <c r="C60" s="47">
        <f>SUMIF('База данных'!$A$2:$A$624,A60,'База данных'!$D$2:$D$624)</f>
        <v>29.82</v>
      </c>
      <c r="D60" s="46">
        <f>SUMIF('База данных'!$A$2:$A$624,A60,'База данных'!$E$2:$E$624)</f>
        <v>70</v>
      </c>
      <c r="E60" s="46" t="str">
        <f t="shared" si="0"/>
        <v/>
      </c>
      <c r="F60" s="46">
        <f t="shared" si="1"/>
        <v>18</v>
      </c>
    </row>
    <row r="61" spans="1:6" x14ac:dyDescent="0.35">
      <c r="A61" s="45">
        <v>77010000060</v>
      </c>
      <c r="B61" s="46">
        <f>INDEX('База данных'!$B$2:$B$624,MATCH(A61,'База данных'!$A$2:$A$624,0))</f>
        <v>1</v>
      </c>
      <c r="C61" s="47">
        <f>SUMIF('База данных'!$A$2:$A$624,A61,'База данных'!$D$2:$D$624)</f>
        <v>19.61</v>
      </c>
      <c r="D61" s="46">
        <f>SUMIF('База данных'!$A$2:$A$624,A61,'База данных'!$E$2:$E$624)</f>
        <v>46</v>
      </c>
      <c r="E61" s="46" t="str">
        <f t="shared" si="0"/>
        <v/>
      </c>
      <c r="F61" s="46">
        <f t="shared" si="1"/>
        <v>57</v>
      </c>
    </row>
    <row r="62" spans="1:6" x14ac:dyDescent="0.35">
      <c r="A62" s="45">
        <v>77010000061</v>
      </c>
      <c r="B62" s="46">
        <f>INDEX('База данных'!$B$2:$B$624,MATCH(A62,'База данных'!$A$2:$A$624,0))</f>
        <v>1</v>
      </c>
      <c r="C62" s="47">
        <f>SUMIF('База данных'!$A$2:$A$624,A62,'База данных'!$D$2:$D$624)</f>
        <v>15.77</v>
      </c>
      <c r="D62" s="46">
        <f>SUMIF('База данных'!$A$2:$A$624,A62,'База данных'!$E$2:$E$624)</f>
        <v>37</v>
      </c>
      <c r="E62" s="46" t="str">
        <f t="shared" si="0"/>
        <v/>
      </c>
      <c r="F62" s="46">
        <f t="shared" si="1"/>
        <v>82</v>
      </c>
    </row>
    <row r="63" spans="1:6" x14ac:dyDescent="0.35">
      <c r="A63" s="45">
        <v>77010000062</v>
      </c>
      <c r="B63" s="46">
        <f>INDEX('База данных'!$B$2:$B$624,MATCH(A63,'База данных'!$A$2:$A$624,0))</f>
        <v>1</v>
      </c>
      <c r="C63" s="47">
        <f>SUMIF('База данных'!$A$2:$A$624,A63,'База данных'!$D$2:$D$624)</f>
        <v>15.959999999999999</v>
      </c>
      <c r="D63" s="46">
        <f>SUMIF('База данных'!$A$2:$A$624,A63,'База данных'!$E$2:$E$624)</f>
        <v>25</v>
      </c>
      <c r="E63" s="46" t="str">
        <f t="shared" si="0"/>
        <v/>
      </c>
      <c r="F63" s="46">
        <f t="shared" si="1"/>
        <v>81</v>
      </c>
    </row>
    <row r="64" spans="1:6" x14ac:dyDescent="0.35">
      <c r="A64" s="45">
        <v>77010000063</v>
      </c>
      <c r="B64" s="46">
        <f>INDEX('База данных'!$B$2:$B$624,MATCH(A64,'База данных'!$A$2:$A$624,0))</f>
        <v>1</v>
      </c>
      <c r="C64" s="47">
        <f>SUMIF('База данных'!$A$2:$A$624,A64,'База данных'!$D$2:$D$624)</f>
        <v>12.120000000000001</v>
      </c>
      <c r="D64" s="46">
        <f>SUMIF('База данных'!$A$2:$A$624,A64,'База данных'!$E$2:$E$624)</f>
        <v>12</v>
      </c>
      <c r="E64" s="46" t="str">
        <f t="shared" si="0"/>
        <v/>
      </c>
      <c r="F64" s="46">
        <f t="shared" si="1"/>
        <v>138</v>
      </c>
    </row>
    <row r="65" spans="1:6" x14ac:dyDescent="0.35">
      <c r="A65" s="45">
        <v>77010000064</v>
      </c>
      <c r="B65" s="46">
        <f>INDEX('База данных'!$B$2:$B$624,MATCH(A65,'База данных'!$A$2:$A$624,0))</f>
        <v>1</v>
      </c>
      <c r="C65" s="47">
        <f>SUMIF('База данных'!$A$2:$A$624,A65,'База данных'!$D$2:$D$624)</f>
        <v>2.5499999999999998</v>
      </c>
      <c r="D65" s="46">
        <f>SUMIF('База данных'!$A$2:$A$624,A65,'База данных'!$E$2:$E$624)</f>
        <v>6</v>
      </c>
      <c r="E65" s="46" t="str">
        <f t="shared" si="0"/>
        <v/>
      </c>
      <c r="F65" s="46">
        <f t="shared" si="1"/>
        <v>269</v>
      </c>
    </row>
    <row r="66" spans="1:6" x14ac:dyDescent="0.35">
      <c r="A66" s="45">
        <v>77010000065</v>
      </c>
      <c r="B66" s="46">
        <f>INDEX('База данных'!$B$2:$B$624,MATCH(A66,'База данных'!$A$2:$A$624,0))</f>
        <v>1</v>
      </c>
      <c r="C66" s="47">
        <f>SUMIF('База данных'!$A$2:$A$624,A66,'База данных'!$D$2:$D$624)</f>
        <v>1.28</v>
      </c>
      <c r="D66" s="46">
        <f>SUMIF('База данных'!$A$2:$A$624,A66,'База данных'!$E$2:$E$624)</f>
        <v>3</v>
      </c>
      <c r="E66" s="46" t="str">
        <f t="shared" ref="E66:E129" si="2">IF(B66=5,D66,"")</f>
        <v/>
      </c>
      <c r="F66" s="46">
        <f t="shared" ref="F66:F129" si="3">RANK(C66,$C$2:$C$293)</f>
        <v>274</v>
      </c>
    </row>
    <row r="67" spans="1:6" x14ac:dyDescent="0.35">
      <c r="A67" s="45">
        <v>77010000066</v>
      </c>
      <c r="B67" s="46">
        <f>INDEX('База данных'!$B$2:$B$624,MATCH(A67,'База данных'!$A$2:$A$624,0))</f>
        <v>1</v>
      </c>
      <c r="C67" s="47">
        <f>SUMIF('База данных'!$A$2:$A$624,A67,'База данных'!$D$2:$D$624)</f>
        <v>5.5500000000000007</v>
      </c>
      <c r="D67" s="46">
        <f>SUMIF('База данных'!$A$2:$A$624,A67,'База данных'!$E$2:$E$624)</f>
        <v>13</v>
      </c>
      <c r="E67" s="46" t="str">
        <f t="shared" si="2"/>
        <v/>
      </c>
      <c r="F67" s="46">
        <f t="shared" si="3"/>
        <v>226</v>
      </c>
    </row>
    <row r="68" spans="1:6" x14ac:dyDescent="0.35">
      <c r="A68" s="45">
        <v>77010000067</v>
      </c>
      <c r="B68" s="46">
        <f>INDEX('База данных'!$B$2:$B$624,MATCH(A68,'База данных'!$A$2:$A$624,0))</f>
        <v>1</v>
      </c>
      <c r="C68" s="47">
        <f>SUMIF('База данных'!$A$2:$A$624,A68,'База данных'!$D$2:$D$624)</f>
        <v>27.91</v>
      </c>
      <c r="D68" s="46">
        <f>SUMIF('База данных'!$A$2:$A$624,A68,'База данных'!$E$2:$E$624)</f>
        <v>17</v>
      </c>
      <c r="E68" s="46" t="str">
        <f t="shared" si="2"/>
        <v/>
      </c>
      <c r="F68" s="46">
        <f t="shared" si="3"/>
        <v>24</v>
      </c>
    </row>
    <row r="69" spans="1:6" x14ac:dyDescent="0.35">
      <c r="A69" s="45">
        <v>77010000068</v>
      </c>
      <c r="B69" s="46">
        <f>INDEX('База данных'!$B$2:$B$624,MATCH(A69,'База данных'!$A$2:$A$624,0))</f>
        <v>1</v>
      </c>
      <c r="C69" s="47">
        <f>SUMIF('База данных'!$A$2:$A$624,A69,'База данных'!$D$2:$D$624)</f>
        <v>9.370000000000001</v>
      </c>
      <c r="D69" s="46">
        <f>SUMIF('База данных'!$A$2:$A$624,A69,'База данных'!$E$2:$E$624)</f>
        <v>22</v>
      </c>
      <c r="E69" s="46" t="str">
        <f t="shared" si="2"/>
        <v/>
      </c>
      <c r="F69" s="46">
        <f t="shared" si="3"/>
        <v>170</v>
      </c>
    </row>
    <row r="70" spans="1:6" x14ac:dyDescent="0.35">
      <c r="A70" s="45">
        <v>77010000069</v>
      </c>
      <c r="B70" s="46">
        <f>INDEX('База данных'!$B$2:$B$624,MATCH(A70,'База данных'!$A$2:$A$624,0))</f>
        <v>1</v>
      </c>
      <c r="C70" s="47">
        <f>SUMIF('База данных'!$A$2:$A$624,A70,'База данных'!$D$2:$D$624)</f>
        <v>17.850000000000001</v>
      </c>
      <c r="D70" s="46">
        <f>SUMIF('База данных'!$A$2:$A$624,A70,'База данных'!$E$2:$E$624)</f>
        <v>28</v>
      </c>
      <c r="E70" s="46" t="str">
        <f t="shared" si="2"/>
        <v/>
      </c>
      <c r="F70" s="46">
        <f t="shared" si="3"/>
        <v>68</v>
      </c>
    </row>
    <row r="71" spans="1:6" x14ac:dyDescent="0.35">
      <c r="A71" s="45">
        <v>77010000070</v>
      </c>
      <c r="B71" s="46">
        <f>INDEX('База данных'!$B$2:$B$624,MATCH(A71,'База данных'!$A$2:$A$624,0))</f>
        <v>1</v>
      </c>
      <c r="C71" s="47">
        <f>SUMIF('База данных'!$A$2:$A$624,A71,'База данных'!$D$2:$D$624)</f>
        <v>0.85</v>
      </c>
      <c r="D71" s="46">
        <f>SUMIF('База данных'!$A$2:$A$624,A71,'База данных'!$E$2:$E$624)</f>
        <v>21</v>
      </c>
      <c r="E71" s="46" t="str">
        <f t="shared" si="2"/>
        <v/>
      </c>
      <c r="F71" s="46">
        <f t="shared" si="3"/>
        <v>281</v>
      </c>
    </row>
    <row r="72" spans="1:6" x14ac:dyDescent="0.35">
      <c r="A72" s="45">
        <v>77010000071</v>
      </c>
      <c r="B72" s="46">
        <f>INDEX('База данных'!$B$2:$B$624,MATCH(A72,'База данных'!$A$2:$A$624,0))</f>
        <v>1</v>
      </c>
      <c r="C72" s="47">
        <f>SUMIF('База данных'!$A$2:$A$624,A72,'База данных'!$D$2:$D$624)</f>
        <v>6.82</v>
      </c>
      <c r="D72" s="46">
        <f>SUMIF('База данных'!$A$2:$A$624,A72,'База данных'!$E$2:$E$624)</f>
        <v>16</v>
      </c>
      <c r="E72" s="46" t="str">
        <f t="shared" si="2"/>
        <v/>
      </c>
      <c r="F72" s="46">
        <f t="shared" si="3"/>
        <v>209</v>
      </c>
    </row>
    <row r="73" spans="1:6" x14ac:dyDescent="0.35">
      <c r="A73" s="45">
        <v>77010000072</v>
      </c>
      <c r="B73" s="46">
        <f>INDEX('База данных'!$B$2:$B$624,MATCH(A73,'База данных'!$A$2:$A$624,0))</f>
        <v>1</v>
      </c>
      <c r="C73" s="47">
        <f>SUMIF('База данных'!$A$2:$A$624,A73,'База данных'!$D$2:$D$624)</f>
        <v>13.21</v>
      </c>
      <c r="D73" s="46">
        <f>SUMIF('База данных'!$A$2:$A$624,A73,'База данных'!$E$2:$E$624)</f>
        <v>31</v>
      </c>
      <c r="E73" s="46" t="str">
        <f t="shared" si="2"/>
        <v/>
      </c>
      <c r="F73" s="46">
        <f t="shared" si="3"/>
        <v>111</v>
      </c>
    </row>
    <row r="74" spans="1:6" x14ac:dyDescent="0.35">
      <c r="A74" s="45">
        <v>77010000073</v>
      </c>
      <c r="B74" s="46">
        <f>INDEX('База данных'!$B$2:$B$624,MATCH(A74,'База данных'!$A$2:$A$624,0))</f>
        <v>1</v>
      </c>
      <c r="C74" s="47">
        <f>SUMIF('База данных'!$A$2:$A$624,A74,'База данных'!$D$2:$D$624)</f>
        <v>10.41</v>
      </c>
      <c r="D74" s="46">
        <f>SUMIF('База данных'!$A$2:$A$624,A74,'База данных'!$E$2:$E$624)</f>
        <v>12</v>
      </c>
      <c r="E74" s="46" t="str">
        <f t="shared" si="2"/>
        <v/>
      </c>
      <c r="F74" s="46">
        <f t="shared" si="3"/>
        <v>156</v>
      </c>
    </row>
    <row r="75" spans="1:6" x14ac:dyDescent="0.35">
      <c r="A75" s="45">
        <v>77010000074</v>
      </c>
      <c r="B75" s="46">
        <f>INDEX('База данных'!$B$2:$B$624,MATCH(A75,'База данных'!$A$2:$A$624,0))</f>
        <v>1</v>
      </c>
      <c r="C75" s="47">
        <f>SUMIF('База данных'!$A$2:$A$624,A75,'База данных'!$D$2:$D$624)</f>
        <v>8.5300000000000011</v>
      </c>
      <c r="D75" s="46">
        <f>SUMIF('База данных'!$A$2:$A$624,A75,'База данных'!$E$2:$E$624)</f>
        <v>20</v>
      </c>
      <c r="E75" s="46" t="str">
        <f t="shared" si="2"/>
        <v/>
      </c>
      <c r="F75" s="46">
        <f t="shared" si="3"/>
        <v>174</v>
      </c>
    </row>
    <row r="76" spans="1:6" x14ac:dyDescent="0.35">
      <c r="A76" s="45">
        <v>77010000075</v>
      </c>
      <c r="B76" s="46">
        <f>INDEX('База данных'!$B$2:$B$624,MATCH(A76,'База данных'!$A$2:$A$624,0))</f>
        <v>1</v>
      </c>
      <c r="C76" s="47">
        <f>SUMIF('База данных'!$A$2:$A$624,A76,'База данных'!$D$2:$D$624)</f>
        <v>17.48</v>
      </c>
      <c r="D76" s="46">
        <f>SUMIF('База данных'!$A$2:$A$624,A76,'База данных'!$E$2:$E$624)</f>
        <v>41</v>
      </c>
      <c r="E76" s="46" t="str">
        <f t="shared" si="2"/>
        <v/>
      </c>
      <c r="F76" s="46">
        <f t="shared" si="3"/>
        <v>69</v>
      </c>
    </row>
    <row r="77" spans="1:6" x14ac:dyDescent="0.35">
      <c r="A77" s="45">
        <v>77010000076</v>
      </c>
      <c r="B77" s="46">
        <f>INDEX('База данных'!$B$2:$B$624,MATCH(A77,'База данных'!$A$2:$A$624,0))</f>
        <v>1</v>
      </c>
      <c r="C77" s="47">
        <f>SUMIF('База данных'!$A$2:$A$624,A77,'База данных'!$D$2:$D$624)</f>
        <v>11.09</v>
      </c>
      <c r="D77" s="46">
        <f>SUMIF('База данных'!$A$2:$A$624,A77,'База данных'!$E$2:$E$624)</f>
        <v>26</v>
      </c>
      <c r="E77" s="46" t="str">
        <f t="shared" si="2"/>
        <v/>
      </c>
      <c r="F77" s="46">
        <f t="shared" si="3"/>
        <v>146</v>
      </c>
    </row>
    <row r="78" spans="1:6" x14ac:dyDescent="0.35">
      <c r="A78" s="45">
        <v>77010000077</v>
      </c>
      <c r="B78" s="46">
        <f>INDEX('База данных'!$B$2:$B$624,MATCH(A78,'База данных'!$A$2:$A$624,0))</f>
        <v>1</v>
      </c>
      <c r="C78" s="47">
        <f>SUMIF('База данных'!$A$2:$A$624,A78,'База данных'!$D$2:$D$624)</f>
        <v>30.25</v>
      </c>
      <c r="D78" s="46">
        <f>SUMIF('База данных'!$A$2:$A$624,A78,'База данных'!$E$2:$E$624)</f>
        <v>71</v>
      </c>
      <c r="E78" s="46" t="str">
        <f t="shared" si="2"/>
        <v/>
      </c>
      <c r="F78" s="46">
        <f t="shared" si="3"/>
        <v>17</v>
      </c>
    </row>
    <row r="79" spans="1:6" x14ac:dyDescent="0.35">
      <c r="A79" s="45">
        <v>77010000078</v>
      </c>
      <c r="B79" s="46">
        <f>INDEX('База данных'!$B$2:$B$624,MATCH(A79,'База данных'!$A$2:$A$624,0))</f>
        <v>1</v>
      </c>
      <c r="C79" s="47">
        <f>SUMIF('База данных'!$A$2:$A$624,A79,'База данных'!$D$2:$D$624)</f>
        <v>9.379999999999999</v>
      </c>
      <c r="D79" s="46">
        <f>SUMIF('База данных'!$A$2:$A$624,A79,'База данных'!$E$2:$E$624)</f>
        <v>22</v>
      </c>
      <c r="E79" s="46" t="str">
        <f t="shared" si="2"/>
        <v/>
      </c>
      <c r="F79" s="46">
        <f t="shared" si="3"/>
        <v>166</v>
      </c>
    </row>
    <row r="80" spans="1:6" x14ac:dyDescent="0.35">
      <c r="A80" s="45">
        <v>77010000079</v>
      </c>
      <c r="B80" s="46">
        <f>INDEX('База данных'!$B$2:$B$624,MATCH(A80,'База данных'!$A$2:$A$624,0))</f>
        <v>1</v>
      </c>
      <c r="C80" s="47">
        <f>SUMIF('База данных'!$A$2:$A$624,A80,'База данных'!$D$2:$D$624)</f>
        <v>22.97</v>
      </c>
      <c r="D80" s="46">
        <f>SUMIF('База данных'!$A$2:$A$624,A80,'База данных'!$E$2:$E$624)</f>
        <v>37</v>
      </c>
      <c r="E80" s="46" t="str">
        <f t="shared" si="2"/>
        <v/>
      </c>
      <c r="F80" s="46">
        <f t="shared" si="3"/>
        <v>42</v>
      </c>
    </row>
    <row r="81" spans="1:6" x14ac:dyDescent="0.35">
      <c r="A81" s="45">
        <v>77010000080</v>
      </c>
      <c r="B81" s="46">
        <f>INDEX('База данных'!$B$2:$B$624,MATCH(A81,'База данных'!$A$2:$A$624,0))</f>
        <v>1</v>
      </c>
      <c r="C81" s="47">
        <f>SUMIF('База данных'!$A$2:$A$624,A81,'База данных'!$D$2:$D$624)</f>
        <v>28.12</v>
      </c>
      <c r="D81" s="46">
        <f>SUMIF('База данных'!$A$2:$A$624,A81,'База данных'!$E$2:$E$624)</f>
        <v>66</v>
      </c>
      <c r="E81" s="46" t="str">
        <f t="shared" si="2"/>
        <v/>
      </c>
      <c r="F81" s="46">
        <f t="shared" si="3"/>
        <v>23</v>
      </c>
    </row>
    <row r="82" spans="1:6" x14ac:dyDescent="0.35">
      <c r="A82" s="45">
        <v>77010000081</v>
      </c>
      <c r="B82" s="46">
        <f>INDEX('База данных'!$B$2:$B$624,MATCH(A82,'База данных'!$A$2:$A$624,0))</f>
        <v>1</v>
      </c>
      <c r="C82" s="47">
        <f>SUMIF('База данных'!$A$2:$A$624,A82,'База данных'!$D$2:$D$624)</f>
        <v>29.12</v>
      </c>
      <c r="D82" s="46">
        <f>SUMIF('База данных'!$A$2:$A$624,A82,'База данных'!$E$2:$E$624)</f>
        <v>42</v>
      </c>
      <c r="E82" s="46" t="str">
        <f t="shared" si="2"/>
        <v/>
      </c>
      <c r="F82" s="46">
        <f t="shared" si="3"/>
        <v>21</v>
      </c>
    </row>
    <row r="83" spans="1:6" x14ac:dyDescent="0.35">
      <c r="A83" s="45">
        <v>77010000082</v>
      </c>
      <c r="B83" s="46">
        <f>INDEX('База данных'!$B$2:$B$624,MATCH(A83,'База данных'!$A$2:$A$624,0))</f>
        <v>1</v>
      </c>
      <c r="C83" s="47">
        <f>SUMIF('База данных'!$A$2:$A$624,A83,'База данных'!$D$2:$D$624)</f>
        <v>14.07</v>
      </c>
      <c r="D83" s="46">
        <f>SUMIF('База данных'!$A$2:$A$624,A83,'База данных'!$E$2:$E$624)</f>
        <v>33</v>
      </c>
      <c r="E83" s="46" t="str">
        <f t="shared" si="2"/>
        <v/>
      </c>
      <c r="F83" s="46">
        <f t="shared" si="3"/>
        <v>99</v>
      </c>
    </row>
    <row r="84" spans="1:6" x14ac:dyDescent="0.35">
      <c r="A84" s="45">
        <v>77010000083</v>
      </c>
      <c r="B84" s="46">
        <f>INDEX('База данных'!$B$2:$B$624,MATCH(A84,'База данных'!$A$2:$A$624,0))</f>
        <v>1</v>
      </c>
      <c r="C84" s="47">
        <f>SUMIF('База данных'!$A$2:$A$624,A84,'База данных'!$D$2:$D$624)</f>
        <v>25.15</v>
      </c>
      <c r="D84" s="46">
        <f>SUMIF('База данных'!$A$2:$A$624,A84,'База данных'!$E$2:$E$624)</f>
        <v>59</v>
      </c>
      <c r="E84" s="46" t="str">
        <f t="shared" si="2"/>
        <v/>
      </c>
      <c r="F84" s="46">
        <f t="shared" si="3"/>
        <v>32</v>
      </c>
    </row>
    <row r="85" spans="1:6" x14ac:dyDescent="0.35">
      <c r="A85" s="45">
        <v>77010000084</v>
      </c>
      <c r="B85" s="46">
        <f>INDEX('База данных'!$B$2:$B$624,MATCH(A85,'База данных'!$A$2:$A$624,0))</f>
        <v>1</v>
      </c>
      <c r="C85" s="47">
        <f>SUMIF('База данных'!$A$2:$A$624,A85,'База данных'!$D$2:$D$624)</f>
        <v>14.25</v>
      </c>
      <c r="D85" s="46">
        <f>SUMIF('База данных'!$A$2:$A$624,A85,'База данных'!$E$2:$E$624)</f>
        <v>20</v>
      </c>
      <c r="E85" s="46" t="str">
        <f t="shared" si="2"/>
        <v/>
      </c>
      <c r="F85" s="46">
        <f t="shared" si="3"/>
        <v>97</v>
      </c>
    </row>
    <row r="86" spans="1:6" x14ac:dyDescent="0.35">
      <c r="A86" s="45">
        <v>77010000085</v>
      </c>
      <c r="B86" s="46">
        <f>INDEX('База данных'!$B$2:$B$624,MATCH(A86,'База данных'!$A$2:$A$624,0))</f>
        <v>1</v>
      </c>
      <c r="C86" s="47">
        <f>SUMIF('База данных'!$A$2:$A$624,A86,'База данных'!$D$2:$D$624)</f>
        <v>0.83</v>
      </c>
      <c r="D86" s="46">
        <f>SUMIF('База данных'!$A$2:$A$624,A86,'База данных'!$E$2:$E$624)</f>
        <v>6</v>
      </c>
      <c r="E86" s="46" t="str">
        <f t="shared" si="2"/>
        <v/>
      </c>
      <c r="F86" s="46">
        <f t="shared" si="3"/>
        <v>284</v>
      </c>
    </row>
    <row r="87" spans="1:6" x14ac:dyDescent="0.35">
      <c r="A87" s="45">
        <v>77010000086</v>
      </c>
      <c r="B87" s="46">
        <f>INDEX('База данных'!$B$2:$B$624,MATCH(A87,'База данных'!$A$2:$A$624,0))</f>
        <v>1</v>
      </c>
      <c r="C87" s="47">
        <f>SUMIF('База данных'!$A$2:$A$624,A87,'База данных'!$D$2:$D$624)</f>
        <v>0.85</v>
      </c>
      <c r="D87" s="46">
        <f>SUMIF('База данных'!$A$2:$A$624,A87,'База данных'!$E$2:$E$624)</f>
        <v>2</v>
      </c>
      <c r="E87" s="46" t="str">
        <f t="shared" si="2"/>
        <v/>
      </c>
      <c r="F87" s="46">
        <f t="shared" si="3"/>
        <v>281</v>
      </c>
    </row>
    <row r="88" spans="1:6" x14ac:dyDescent="0.35">
      <c r="A88" s="45">
        <v>77010000087</v>
      </c>
      <c r="B88" s="46">
        <f>INDEX('База данных'!$B$2:$B$624,MATCH(A88,'База данных'!$A$2:$A$624,0))</f>
        <v>1</v>
      </c>
      <c r="C88" s="47">
        <f>SUMIF('База данных'!$A$2:$A$624,A88,'База данных'!$D$2:$D$624)</f>
        <v>6.39</v>
      </c>
      <c r="D88" s="46">
        <f>SUMIF('База данных'!$A$2:$A$624,A88,'База данных'!$E$2:$E$624)</f>
        <v>15</v>
      </c>
      <c r="E88" s="46" t="str">
        <f t="shared" si="2"/>
        <v/>
      </c>
      <c r="F88" s="46">
        <f t="shared" si="3"/>
        <v>218</v>
      </c>
    </row>
    <row r="89" spans="1:6" x14ac:dyDescent="0.35">
      <c r="A89" s="45">
        <v>77010000088</v>
      </c>
      <c r="B89" s="46">
        <f>INDEX('База данных'!$B$2:$B$624,MATCH(A89,'База данных'!$A$2:$A$624,0))</f>
        <v>1</v>
      </c>
      <c r="C89" s="47">
        <f>SUMIF('База данных'!$A$2:$A$624,A89,'База данных'!$D$2:$D$624)</f>
        <v>1.28</v>
      </c>
      <c r="D89" s="46">
        <f>SUMIF('База данных'!$A$2:$A$624,A89,'База данных'!$E$2:$E$624)</f>
        <v>3</v>
      </c>
      <c r="E89" s="46" t="str">
        <f t="shared" si="2"/>
        <v/>
      </c>
      <c r="F89" s="46">
        <f t="shared" si="3"/>
        <v>274</v>
      </c>
    </row>
    <row r="90" spans="1:6" x14ac:dyDescent="0.35">
      <c r="A90" s="45">
        <v>77010000089</v>
      </c>
      <c r="B90" s="46">
        <f>INDEX('База данных'!$B$2:$B$624,MATCH(A90,'База данных'!$A$2:$A$624,0))</f>
        <v>1</v>
      </c>
      <c r="C90" s="47">
        <f>SUMIF('База данных'!$A$2:$A$624,A90,'База данных'!$D$2:$D$624)</f>
        <v>2.13</v>
      </c>
      <c r="D90" s="46">
        <f>SUMIF('База данных'!$A$2:$A$624,A90,'База данных'!$E$2:$E$624)</f>
        <v>5</v>
      </c>
      <c r="E90" s="46" t="str">
        <f t="shared" si="2"/>
        <v/>
      </c>
      <c r="F90" s="46">
        <f t="shared" si="3"/>
        <v>271</v>
      </c>
    </row>
    <row r="91" spans="1:6" x14ac:dyDescent="0.35">
      <c r="A91" s="45">
        <v>77010000090</v>
      </c>
      <c r="B91" s="46">
        <f>INDEX('База данных'!$B$2:$B$624,MATCH(A91,'База данных'!$A$2:$A$624,0))</f>
        <v>1</v>
      </c>
      <c r="C91" s="47">
        <f>SUMIF('База данных'!$A$2:$A$624,A91,'База данных'!$D$2:$D$624)</f>
        <v>7.67</v>
      </c>
      <c r="D91" s="46">
        <f>SUMIF('База данных'!$A$2:$A$624,A91,'База данных'!$E$2:$E$624)</f>
        <v>18</v>
      </c>
      <c r="E91" s="46" t="str">
        <f t="shared" si="2"/>
        <v/>
      </c>
      <c r="F91" s="46">
        <f t="shared" si="3"/>
        <v>202</v>
      </c>
    </row>
    <row r="92" spans="1:6" x14ac:dyDescent="0.35">
      <c r="A92" s="45">
        <v>77010000091</v>
      </c>
      <c r="B92" s="46">
        <f>INDEX('База данных'!$B$2:$B$624,MATCH(A92,'База данных'!$A$2:$A$624,0))</f>
        <v>1</v>
      </c>
      <c r="C92" s="47">
        <f>SUMIF('База данных'!$A$2:$A$624,A92,'База данных'!$D$2:$D$624)</f>
        <v>14.490000000000002</v>
      </c>
      <c r="D92" s="46">
        <f>SUMIF('База данных'!$A$2:$A$624,A92,'База данных'!$E$2:$E$624)</f>
        <v>34</v>
      </c>
      <c r="E92" s="46" t="str">
        <f t="shared" si="2"/>
        <v/>
      </c>
      <c r="F92" s="46">
        <f t="shared" si="3"/>
        <v>96</v>
      </c>
    </row>
    <row r="93" spans="1:6" x14ac:dyDescent="0.35">
      <c r="A93" s="45">
        <v>77010000092</v>
      </c>
      <c r="B93" s="46">
        <f>INDEX('База данных'!$B$2:$B$624,MATCH(A93,'База данных'!$A$2:$A$624,0))</f>
        <v>1</v>
      </c>
      <c r="C93" s="47">
        <f>SUMIF('База данных'!$A$2:$A$624,A93,'База данных'!$D$2:$D$624)</f>
        <v>25.35</v>
      </c>
      <c r="D93" s="46">
        <f>SUMIF('База данных'!$A$2:$A$624,A93,'База данных'!$E$2:$E$624)</f>
        <v>13</v>
      </c>
      <c r="E93" s="46" t="str">
        <f t="shared" si="2"/>
        <v/>
      </c>
      <c r="F93" s="46">
        <f t="shared" si="3"/>
        <v>31</v>
      </c>
    </row>
    <row r="94" spans="1:6" x14ac:dyDescent="0.35">
      <c r="A94" s="45">
        <v>77010000093</v>
      </c>
      <c r="B94" s="46">
        <f>INDEX('База данных'!$B$2:$B$624,MATCH(A94,'База данных'!$A$2:$A$624,0))</f>
        <v>1</v>
      </c>
      <c r="C94" s="47">
        <f>SUMIF('База данных'!$A$2:$A$624,A94,'База данных'!$D$2:$D$624)</f>
        <v>4.6899999999999995</v>
      </c>
      <c r="D94" s="46">
        <f>SUMIF('База данных'!$A$2:$A$624,A94,'База данных'!$E$2:$E$624)</f>
        <v>11</v>
      </c>
      <c r="E94" s="46" t="str">
        <f t="shared" si="2"/>
        <v/>
      </c>
      <c r="F94" s="46">
        <f t="shared" si="3"/>
        <v>236</v>
      </c>
    </row>
    <row r="95" spans="1:6" x14ac:dyDescent="0.35">
      <c r="A95" s="45">
        <v>77010000094</v>
      </c>
      <c r="B95" s="46">
        <f>INDEX('База данных'!$B$2:$B$624,MATCH(A95,'База данных'!$A$2:$A$624,0))</f>
        <v>1</v>
      </c>
      <c r="C95" s="47">
        <f>SUMIF('База данных'!$A$2:$A$624,A95,'База данных'!$D$2:$D$624)</f>
        <v>9.379999999999999</v>
      </c>
      <c r="D95" s="46">
        <f>SUMIF('База данных'!$A$2:$A$624,A95,'База данных'!$E$2:$E$624)</f>
        <v>22</v>
      </c>
      <c r="E95" s="46" t="str">
        <f t="shared" si="2"/>
        <v/>
      </c>
      <c r="F95" s="46">
        <f t="shared" si="3"/>
        <v>166</v>
      </c>
    </row>
    <row r="96" spans="1:6" x14ac:dyDescent="0.35">
      <c r="A96" s="45">
        <v>77010000095</v>
      </c>
      <c r="B96" s="46">
        <f>INDEX('База данных'!$B$2:$B$624,MATCH(A96,'База данных'!$A$2:$A$624,0))</f>
        <v>1</v>
      </c>
      <c r="C96" s="47">
        <f>SUMIF('База данных'!$A$2:$A$624,A96,'База данных'!$D$2:$D$624)</f>
        <v>0.85</v>
      </c>
      <c r="D96" s="46">
        <f>SUMIF('База данных'!$A$2:$A$624,A96,'База данных'!$E$2:$E$624)</f>
        <v>2</v>
      </c>
      <c r="E96" s="46" t="str">
        <f t="shared" si="2"/>
        <v/>
      </c>
      <c r="F96" s="46">
        <f t="shared" si="3"/>
        <v>281</v>
      </c>
    </row>
    <row r="97" spans="1:6" x14ac:dyDescent="0.35">
      <c r="A97" s="45">
        <v>77010000096</v>
      </c>
      <c r="B97" s="46">
        <f>INDEX('База данных'!$B$2:$B$624,MATCH(A97,'База данных'!$A$2:$A$624,0))</f>
        <v>1</v>
      </c>
      <c r="C97" s="47">
        <f>SUMIF('База данных'!$A$2:$A$624,A97,'База данных'!$D$2:$D$624)</f>
        <v>6.39</v>
      </c>
      <c r="D97" s="46">
        <f>SUMIF('База данных'!$A$2:$A$624,A97,'База данных'!$E$2:$E$624)</f>
        <v>15</v>
      </c>
      <c r="E97" s="46" t="str">
        <f t="shared" si="2"/>
        <v/>
      </c>
      <c r="F97" s="46">
        <f t="shared" si="3"/>
        <v>218</v>
      </c>
    </row>
    <row r="98" spans="1:6" x14ac:dyDescent="0.35">
      <c r="A98" s="45">
        <v>77010000098</v>
      </c>
      <c r="B98" s="46">
        <f>INDEX('База данных'!$B$2:$B$624,MATCH(A98,'База данных'!$A$2:$A$624,0))</f>
        <v>2</v>
      </c>
      <c r="C98" s="47">
        <f>SUMIF('База данных'!$A$2:$A$624,A98,'База данных'!$D$2:$D$624)</f>
        <v>2.2799999999999998</v>
      </c>
      <c r="D98" s="46">
        <f>SUMIF('База данных'!$A$2:$A$624,A98,'База данных'!$E$2:$E$624)</f>
        <v>10</v>
      </c>
      <c r="E98" s="46" t="str">
        <f t="shared" si="2"/>
        <v/>
      </c>
      <c r="F98" s="46">
        <f t="shared" si="3"/>
        <v>270</v>
      </c>
    </row>
    <row r="99" spans="1:6" x14ac:dyDescent="0.35">
      <c r="A99" s="45">
        <v>77010000099</v>
      </c>
      <c r="B99" s="46">
        <f>INDEX('База данных'!$B$2:$B$624,MATCH(A99,'База данных'!$A$2:$A$624,0))</f>
        <v>2</v>
      </c>
      <c r="C99" s="47">
        <f>SUMIF('База данных'!$A$2:$A$624,A99,'База данных'!$D$2:$D$624)</f>
        <v>62.22</v>
      </c>
      <c r="D99" s="46">
        <f>SUMIF('База данных'!$A$2:$A$624,A99,'База данных'!$E$2:$E$624)</f>
        <v>146</v>
      </c>
      <c r="E99" s="46" t="str">
        <f t="shared" si="2"/>
        <v/>
      </c>
      <c r="F99" s="46">
        <f t="shared" si="3"/>
        <v>2</v>
      </c>
    </row>
    <row r="100" spans="1:6" x14ac:dyDescent="0.35">
      <c r="A100" s="45">
        <v>77010000100</v>
      </c>
      <c r="B100" s="46">
        <f>INDEX('База данных'!$B$2:$B$624,MATCH(A100,'База данных'!$A$2:$A$624,0))</f>
        <v>2</v>
      </c>
      <c r="C100" s="47">
        <f>SUMIF('База данных'!$A$2:$A$624,A100,'База данных'!$D$2:$D$624)</f>
        <v>2.98</v>
      </c>
      <c r="D100" s="46">
        <f>SUMIF('База данных'!$A$2:$A$624,A100,'База данных'!$E$2:$E$624)</f>
        <v>7</v>
      </c>
      <c r="E100" s="46" t="str">
        <f t="shared" si="2"/>
        <v/>
      </c>
      <c r="F100" s="46">
        <f t="shared" si="3"/>
        <v>264</v>
      </c>
    </row>
    <row r="101" spans="1:6" x14ac:dyDescent="0.35">
      <c r="A101" s="45">
        <v>77010000101</v>
      </c>
      <c r="B101" s="46">
        <f>INDEX('База данных'!$B$2:$B$624,MATCH(A101,'База данных'!$A$2:$A$624,0))</f>
        <v>2</v>
      </c>
      <c r="C101" s="47">
        <f>SUMIF('База данных'!$A$2:$A$624,A101,'База данных'!$D$2:$D$624)</f>
        <v>17.47</v>
      </c>
      <c r="D101" s="46">
        <f>SUMIF('База данных'!$A$2:$A$624,A101,'База данных'!$E$2:$E$624)</f>
        <v>41</v>
      </c>
      <c r="E101" s="46" t="str">
        <f t="shared" si="2"/>
        <v/>
      </c>
      <c r="F101" s="46">
        <f t="shared" si="3"/>
        <v>70</v>
      </c>
    </row>
    <row r="102" spans="1:6" x14ac:dyDescent="0.35">
      <c r="A102" s="45">
        <v>77010000102</v>
      </c>
      <c r="B102" s="46">
        <f>INDEX('База данных'!$B$2:$B$624,MATCH(A102,'База данных'!$A$2:$A$624,0))</f>
        <v>2</v>
      </c>
      <c r="C102" s="47">
        <f>SUMIF('База данных'!$A$2:$A$624,A102,'База данных'!$D$2:$D$624)</f>
        <v>2.98</v>
      </c>
      <c r="D102" s="46">
        <f>SUMIF('База данных'!$A$2:$A$624,A102,'База данных'!$E$2:$E$624)</f>
        <v>7</v>
      </c>
      <c r="E102" s="46" t="str">
        <f t="shared" si="2"/>
        <v/>
      </c>
      <c r="F102" s="46">
        <f t="shared" si="3"/>
        <v>264</v>
      </c>
    </row>
    <row r="103" spans="1:6" x14ac:dyDescent="0.35">
      <c r="A103" s="45">
        <v>77010000103</v>
      </c>
      <c r="B103" s="46">
        <f>INDEX('База данных'!$B$2:$B$624,MATCH(A103,'База данных'!$A$2:$A$624,0))</f>
        <v>2</v>
      </c>
      <c r="C103" s="47">
        <f>SUMIF('База данных'!$A$2:$A$624,A103,'База данных'!$D$2:$D$624)</f>
        <v>1.28</v>
      </c>
      <c r="D103" s="46">
        <f>SUMIF('База данных'!$A$2:$A$624,A103,'База данных'!$E$2:$E$624)</f>
        <v>3</v>
      </c>
      <c r="E103" s="46" t="str">
        <f t="shared" si="2"/>
        <v/>
      </c>
      <c r="F103" s="46">
        <f t="shared" si="3"/>
        <v>274</v>
      </c>
    </row>
    <row r="104" spans="1:6" x14ac:dyDescent="0.35">
      <c r="A104" s="45">
        <v>77010000104</v>
      </c>
      <c r="B104" s="46">
        <f>INDEX('База данных'!$B$2:$B$624,MATCH(A104,'База данных'!$A$2:$A$624,0))</f>
        <v>2</v>
      </c>
      <c r="C104" s="47">
        <f>SUMIF('База данных'!$A$2:$A$624,A104,'База данных'!$D$2:$D$624)</f>
        <v>4.26</v>
      </c>
      <c r="D104" s="46">
        <f>SUMIF('База данных'!$A$2:$A$624,A104,'База данных'!$E$2:$E$624)</f>
        <v>10</v>
      </c>
      <c r="E104" s="46" t="str">
        <f t="shared" si="2"/>
        <v/>
      </c>
      <c r="F104" s="46">
        <f t="shared" si="3"/>
        <v>240</v>
      </c>
    </row>
    <row r="105" spans="1:6" x14ac:dyDescent="0.35">
      <c r="A105" s="45">
        <v>77010000105</v>
      </c>
      <c r="B105" s="46">
        <f>INDEX('База данных'!$B$2:$B$624,MATCH(A105,'База данных'!$A$2:$A$624,0))</f>
        <v>2</v>
      </c>
      <c r="C105" s="47">
        <f>SUMIF('База данных'!$A$2:$A$624,A105,'База данных'!$D$2:$D$624)</f>
        <v>13.64</v>
      </c>
      <c r="D105" s="46">
        <f>SUMIF('База данных'!$A$2:$A$624,A105,'База данных'!$E$2:$E$624)</f>
        <v>32</v>
      </c>
      <c r="E105" s="46" t="str">
        <f t="shared" si="2"/>
        <v/>
      </c>
      <c r="F105" s="46">
        <f t="shared" si="3"/>
        <v>103</v>
      </c>
    </row>
    <row r="106" spans="1:6" x14ac:dyDescent="0.35">
      <c r="A106" s="45">
        <v>77010000106</v>
      </c>
      <c r="B106" s="46">
        <f>INDEX('База данных'!$B$2:$B$624,MATCH(A106,'База данных'!$A$2:$A$624,0))</f>
        <v>2</v>
      </c>
      <c r="C106" s="47">
        <f>SUMIF('База данных'!$A$2:$A$624,A106,'База данных'!$D$2:$D$624)</f>
        <v>29.49</v>
      </c>
      <c r="D106" s="46">
        <f>SUMIF('База данных'!$A$2:$A$624,A106,'База данных'!$E$2:$E$624)</f>
        <v>40</v>
      </c>
      <c r="E106" s="46" t="str">
        <f t="shared" si="2"/>
        <v/>
      </c>
      <c r="F106" s="46">
        <f t="shared" si="3"/>
        <v>19</v>
      </c>
    </row>
    <row r="107" spans="1:6" x14ac:dyDescent="0.35">
      <c r="A107" s="45">
        <v>77010000107</v>
      </c>
      <c r="B107" s="46">
        <f>INDEX('База данных'!$B$2:$B$624,MATCH(A107,'База данных'!$A$2:$A$624,0))</f>
        <v>2</v>
      </c>
      <c r="C107" s="47">
        <f>SUMIF('База данных'!$A$2:$A$624,A107,'База данных'!$D$2:$D$624)</f>
        <v>40.92</v>
      </c>
      <c r="D107" s="46">
        <f>SUMIF('База данных'!$A$2:$A$624,A107,'База данных'!$E$2:$E$624)</f>
        <v>96</v>
      </c>
      <c r="E107" s="46" t="str">
        <f t="shared" si="2"/>
        <v/>
      </c>
      <c r="F107" s="46">
        <f t="shared" si="3"/>
        <v>9</v>
      </c>
    </row>
    <row r="108" spans="1:6" x14ac:dyDescent="0.35">
      <c r="A108" s="45">
        <v>77010000108</v>
      </c>
      <c r="B108" s="46">
        <f>INDEX('База данных'!$B$2:$B$624,MATCH(A108,'База данных'!$A$2:$A$624,0))</f>
        <v>2</v>
      </c>
      <c r="C108" s="47">
        <f>SUMIF('База данных'!$A$2:$A$624,A108,'База данных'!$D$2:$D$624)</f>
        <v>30.8</v>
      </c>
      <c r="D108" s="46">
        <f>SUMIF('База данных'!$A$2:$A$624,A108,'База данных'!$E$2:$E$624)</f>
        <v>89</v>
      </c>
      <c r="E108" s="46" t="str">
        <f t="shared" si="2"/>
        <v/>
      </c>
      <c r="F108" s="46">
        <f t="shared" si="3"/>
        <v>15</v>
      </c>
    </row>
    <row r="109" spans="1:6" x14ac:dyDescent="0.35">
      <c r="A109" s="45">
        <v>77010000109</v>
      </c>
      <c r="B109" s="46">
        <f>INDEX('База данных'!$B$2:$B$624,MATCH(A109,'База данных'!$A$2:$A$624,0))</f>
        <v>2</v>
      </c>
      <c r="C109" s="47">
        <f>SUMIF('База данных'!$A$2:$A$624,A109,'База данных'!$D$2:$D$624)</f>
        <v>94.4</v>
      </c>
      <c r="D109" s="46">
        <f>SUMIF('База данных'!$A$2:$A$624,A109,'База данных'!$E$2:$E$624)</f>
        <v>191</v>
      </c>
      <c r="E109" s="46" t="str">
        <f t="shared" si="2"/>
        <v/>
      </c>
      <c r="F109" s="46">
        <f t="shared" si="3"/>
        <v>1</v>
      </c>
    </row>
    <row r="110" spans="1:6" x14ac:dyDescent="0.35">
      <c r="A110" s="45">
        <v>77010000110</v>
      </c>
      <c r="B110" s="46">
        <f>INDEX('База данных'!$B$2:$B$624,MATCH(A110,'База данных'!$A$2:$A$624,0))</f>
        <v>2</v>
      </c>
      <c r="C110" s="47">
        <f>SUMIF('База данных'!$A$2:$A$624,A110,'База данных'!$D$2:$D$624)</f>
        <v>15.71</v>
      </c>
      <c r="D110" s="46">
        <f>SUMIF('База данных'!$A$2:$A$624,A110,'База данных'!$E$2:$E$624)</f>
        <v>55</v>
      </c>
      <c r="E110" s="46" t="str">
        <f t="shared" si="2"/>
        <v/>
      </c>
      <c r="F110" s="46">
        <f t="shared" si="3"/>
        <v>87</v>
      </c>
    </row>
    <row r="111" spans="1:6" x14ac:dyDescent="0.35">
      <c r="A111" s="45">
        <v>77010000111</v>
      </c>
      <c r="B111" s="46">
        <f>INDEX('База данных'!$B$2:$B$624,MATCH(A111,'База данных'!$A$2:$A$624,0))</f>
        <v>2</v>
      </c>
      <c r="C111" s="47">
        <f>SUMIF('База данных'!$A$2:$A$624,A111,'База данных'!$D$2:$D$624)</f>
        <v>12.73</v>
      </c>
      <c r="D111" s="46">
        <f>SUMIF('База данных'!$A$2:$A$624,A111,'База данных'!$E$2:$E$624)</f>
        <v>48</v>
      </c>
      <c r="E111" s="46" t="str">
        <f t="shared" si="2"/>
        <v/>
      </c>
      <c r="F111" s="46">
        <f t="shared" si="3"/>
        <v>133</v>
      </c>
    </row>
    <row r="112" spans="1:6" x14ac:dyDescent="0.35">
      <c r="A112" s="45">
        <v>77010000112</v>
      </c>
      <c r="B112" s="46">
        <f>INDEX('База данных'!$B$2:$B$624,MATCH(A112,'База данных'!$A$2:$A$624,0))</f>
        <v>2</v>
      </c>
      <c r="C112" s="47">
        <f>SUMIF('База данных'!$A$2:$A$624,A112,'База данных'!$D$2:$D$624)</f>
        <v>18.759999999999998</v>
      </c>
      <c r="D112" s="46">
        <f>SUMIF('База данных'!$A$2:$A$624,A112,'База данных'!$E$2:$E$624)</f>
        <v>44</v>
      </c>
      <c r="E112" s="46" t="str">
        <f t="shared" si="2"/>
        <v/>
      </c>
      <c r="F112" s="46">
        <f t="shared" si="3"/>
        <v>62</v>
      </c>
    </row>
    <row r="113" spans="1:6" x14ac:dyDescent="0.35">
      <c r="A113" s="45">
        <v>77010000113</v>
      </c>
      <c r="B113" s="46">
        <f>INDEX('База данных'!$B$2:$B$624,MATCH(A113,'База данных'!$A$2:$A$624,0))</f>
        <v>2</v>
      </c>
      <c r="C113" s="47">
        <f>SUMIF('База данных'!$A$2:$A$624,A113,'База данных'!$D$2:$D$624)</f>
        <v>29.479999999999997</v>
      </c>
      <c r="D113" s="46">
        <f>SUMIF('База данных'!$A$2:$A$624,A113,'База данных'!$E$2:$E$624)</f>
        <v>78</v>
      </c>
      <c r="E113" s="46" t="str">
        <f t="shared" si="2"/>
        <v/>
      </c>
      <c r="F113" s="46">
        <f t="shared" si="3"/>
        <v>20</v>
      </c>
    </row>
    <row r="114" spans="1:6" x14ac:dyDescent="0.35">
      <c r="A114" s="45">
        <v>77010000114</v>
      </c>
      <c r="B114" s="46">
        <f>INDEX('База данных'!$B$2:$B$624,MATCH(A114,'База данных'!$A$2:$A$624,0))</f>
        <v>2</v>
      </c>
      <c r="C114" s="47">
        <f>SUMIF('База данных'!$A$2:$A$624,A114,'База данных'!$D$2:$D$624)</f>
        <v>17.899999999999999</v>
      </c>
      <c r="D114" s="46">
        <f>SUMIF('База данных'!$A$2:$A$624,A114,'База данных'!$E$2:$E$624)</f>
        <v>42</v>
      </c>
      <c r="E114" s="46" t="str">
        <f t="shared" si="2"/>
        <v/>
      </c>
      <c r="F114" s="46">
        <f t="shared" si="3"/>
        <v>67</v>
      </c>
    </row>
    <row r="115" spans="1:6" x14ac:dyDescent="0.35">
      <c r="A115" s="45">
        <v>77010000115</v>
      </c>
      <c r="B115" s="46">
        <f>INDEX('База данных'!$B$2:$B$624,MATCH(A115,'База данных'!$A$2:$A$624,0))</f>
        <v>2</v>
      </c>
      <c r="C115" s="47">
        <f>SUMIF('База данных'!$A$2:$A$624,A115,'База данных'!$D$2:$D$624)</f>
        <v>24.290000000000003</v>
      </c>
      <c r="D115" s="46">
        <f>SUMIF('База данных'!$A$2:$A$624,A115,'База данных'!$E$2:$E$624)</f>
        <v>57</v>
      </c>
      <c r="E115" s="46" t="str">
        <f t="shared" si="2"/>
        <v/>
      </c>
      <c r="F115" s="46">
        <f t="shared" si="3"/>
        <v>36</v>
      </c>
    </row>
    <row r="116" spans="1:6" x14ac:dyDescent="0.35">
      <c r="A116" s="45">
        <v>77010000116</v>
      </c>
      <c r="B116" s="46">
        <f>INDEX('База данных'!$B$2:$B$624,MATCH(A116,'База данных'!$A$2:$A$624,0))</f>
        <v>2</v>
      </c>
      <c r="C116" s="47">
        <f>SUMIF('База данных'!$A$2:$A$624,A116,'База данных'!$D$2:$D$624)</f>
        <v>10.23</v>
      </c>
      <c r="D116" s="46">
        <f>SUMIF('База данных'!$A$2:$A$624,A116,'База данных'!$E$2:$E$624)</f>
        <v>24</v>
      </c>
      <c r="E116" s="46" t="str">
        <f t="shared" si="2"/>
        <v/>
      </c>
      <c r="F116" s="46">
        <f t="shared" si="3"/>
        <v>157</v>
      </c>
    </row>
    <row r="117" spans="1:6" x14ac:dyDescent="0.35">
      <c r="A117" s="45">
        <v>77010000117</v>
      </c>
      <c r="B117" s="46">
        <f>INDEX('База данных'!$B$2:$B$624,MATCH(A117,'База данных'!$A$2:$A$624,0))</f>
        <v>2</v>
      </c>
      <c r="C117" s="47">
        <f>SUMIF('База данных'!$A$2:$A$624,A117,'База данных'!$D$2:$D$624)</f>
        <v>7.25</v>
      </c>
      <c r="D117" s="46">
        <f>SUMIF('База данных'!$A$2:$A$624,A117,'База данных'!$E$2:$E$624)</f>
        <v>17</v>
      </c>
      <c r="E117" s="46" t="str">
        <f t="shared" si="2"/>
        <v/>
      </c>
      <c r="F117" s="46">
        <f t="shared" si="3"/>
        <v>207</v>
      </c>
    </row>
    <row r="118" spans="1:6" x14ac:dyDescent="0.35">
      <c r="A118" s="45">
        <v>77010000118</v>
      </c>
      <c r="B118" s="46">
        <f>INDEX('База данных'!$B$2:$B$624,MATCH(A118,'База данных'!$A$2:$A$624,0))</f>
        <v>2</v>
      </c>
      <c r="C118" s="47">
        <f>SUMIF('База данных'!$A$2:$A$624,A118,'База данных'!$D$2:$D$624)</f>
        <v>0.43</v>
      </c>
      <c r="D118" s="46">
        <f>SUMIF('База данных'!$A$2:$A$624,A118,'База данных'!$E$2:$E$624)</f>
        <v>1</v>
      </c>
      <c r="E118" s="46" t="str">
        <f t="shared" si="2"/>
        <v/>
      </c>
      <c r="F118" s="46">
        <f t="shared" si="3"/>
        <v>285</v>
      </c>
    </row>
    <row r="119" spans="1:6" x14ac:dyDescent="0.35">
      <c r="A119" s="45">
        <v>77010000119</v>
      </c>
      <c r="B119" s="46">
        <f>INDEX('База данных'!$B$2:$B$624,MATCH(A119,'База данных'!$A$2:$A$624,0))</f>
        <v>2</v>
      </c>
      <c r="C119" s="47">
        <f>SUMIF('База данных'!$A$2:$A$624,A119,'База данных'!$D$2:$D$624)</f>
        <v>4.33</v>
      </c>
      <c r="D119" s="46">
        <f>SUMIF('База данных'!$A$2:$A$624,A119,'База данных'!$E$2:$E$624)</f>
        <v>19</v>
      </c>
      <c r="E119" s="46" t="str">
        <f t="shared" si="2"/>
        <v/>
      </c>
      <c r="F119" s="46">
        <f t="shared" si="3"/>
        <v>239</v>
      </c>
    </row>
    <row r="120" spans="1:6" x14ac:dyDescent="0.35">
      <c r="A120" s="45">
        <v>77010000120</v>
      </c>
      <c r="B120" s="46">
        <f>INDEX('База данных'!$B$2:$B$624,MATCH(A120,'База данных'!$A$2:$A$624,0))</f>
        <v>2</v>
      </c>
      <c r="C120" s="47">
        <f>SUMIF('База данных'!$A$2:$A$624,A120,'База данных'!$D$2:$D$624)</f>
        <v>6.82</v>
      </c>
      <c r="D120" s="46">
        <f>SUMIF('База данных'!$A$2:$A$624,A120,'База данных'!$E$2:$E$624)</f>
        <v>16</v>
      </c>
      <c r="E120" s="46" t="str">
        <f t="shared" si="2"/>
        <v/>
      </c>
      <c r="F120" s="46">
        <f t="shared" si="3"/>
        <v>209</v>
      </c>
    </row>
    <row r="121" spans="1:6" x14ac:dyDescent="0.35">
      <c r="A121" s="45">
        <v>77010000121</v>
      </c>
      <c r="B121" s="46">
        <f>INDEX('База данных'!$B$2:$B$624,MATCH(A121,'База данных'!$A$2:$A$624,0))</f>
        <v>2</v>
      </c>
      <c r="C121" s="47">
        <f>SUMIF('База данных'!$A$2:$A$624,A121,'База данных'!$D$2:$D$624)</f>
        <v>35.79</v>
      </c>
      <c r="D121" s="46">
        <f>SUMIF('База данных'!$A$2:$A$624,A121,'База данных'!$E$2:$E$624)</f>
        <v>97</v>
      </c>
      <c r="E121" s="46" t="str">
        <f t="shared" si="2"/>
        <v/>
      </c>
      <c r="F121" s="46">
        <f t="shared" si="3"/>
        <v>13</v>
      </c>
    </row>
    <row r="122" spans="1:6" x14ac:dyDescent="0.35">
      <c r="A122" s="45">
        <v>77010000122</v>
      </c>
      <c r="B122" s="46">
        <f>INDEX('База данных'!$B$2:$B$624,MATCH(A122,'База данных'!$A$2:$A$624,0))</f>
        <v>2</v>
      </c>
      <c r="C122" s="47">
        <f>SUMIF('База данных'!$A$2:$A$624,A122,'База данных'!$D$2:$D$624)</f>
        <v>48.3</v>
      </c>
      <c r="D122" s="46">
        <f>SUMIF('База данных'!$A$2:$A$624,A122,'База данных'!$E$2:$E$624)</f>
        <v>191</v>
      </c>
      <c r="E122" s="46" t="str">
        <f t="shared" si="2"/>
        <v/>
      </c>
      <c r="F122" s="46">
        <f t="shared" si="3"/>
        <v>4</v>
      </c>
    </row>
    <row r="123" spans="1:6" x14ac:dyDescent="0.35">
      <c r="A123" s="45">
        <v>77010000123</v>
      </c>
      <c r="B123" s="46">
        <f>INDEX('База данных'!$B$2:$B$624,MATCH(A123,'База данных'!$A$2:$A$624,0))</f>
        <v>2</v>
      </c>
      <c r="C123" s="47">
        <f>SUMIF('База данных'!$A$2:$A$624,A123,'База данных'!$D$2:$D$624)</f>
        <v>26.86</v>
      </c>
      <c r="D123" s="46">
        <f>SUMIF('База данных'!$A$2:$A$624,A123,'База данных'!$E$2:$E$624)</f>
        <v>103</v>
      </c>
      <c r="E123" s="46" t="str">
        <f t="shared" si="2"/>
        <v/>
      </c>
      <c r="F123" s="46">
        <f t="shared" si="3"/>
        <v>26</v>
      </c>
    </row>
    <row r="124" spans="1:6" x14ac:dyDescent="0.35">
      <c r="A124" s="45">
        <v>77010000124</v>
      </c>
      <c r="B124" s="46">
        <f>INDEX('База данных'!$B$2:$B$624,MATCH(A124,'База данных'!$A$2:$A$624,0))</f>
        <v>2</v>
      </c>
      <c r="C124" s="47">
        <f>SUMIF('База данных'!$A$2:$A$624,A124,'База данных'!$D$2:$D$624)</f>
        <v>26.43</v>
      </c>
      <c r="D124" s="46">
        <f>SUMIF('База данных'!$A$2:$A$624,A124,'База данных'!$E$2:$E$624)</f>
        <v>62</v>
      </c>
      <c r="E124" s="46" t="str">
        <f t="shared" si="2"/>
        <v/>
      </c>
      <c r="F124" s="46">
        <f t="shared" si="3"/>
        <v>28</v>
      </c>
    </row>
    <row r="125" spans="1:6" x14ac:dyDescent="0.35">
      <c r="A125" s="45">
        <v>77010000125</v>
      </c>
      <c r="B125" s="46">
        <f>INDEX('База данных'!$B$2:$B$624,MATCH(A125,'База данных'!$A$2:$A$624,0))</f>
        <v>2</v>
      </c>
      <c r="C125" s="47">
        <f>SUMIF('База данных'!$A$2:$A$624,A125,'База данных'!$D$2:$D$624)</f>
        <v>8</v>
      </c>
      <c r="D125" s="46">
        <f>SUMIF('База данных'!$A$2:$A$624,A125,'База данных'!$E$2:$E$624)</f>
        <v>29</v>
      </c>
      <c r="E125" s="46" t="str">
        <f t="shared" si="2"/>
        <v/>
      </c>
      <c r="F125" s="46">
        <f t="shared" si="3"/>
        <v>200</v>
      </c>
    </row>
    <row r="126" spans="1:6" x14ac:dyDescent="0.35">
      <c r="A126" s="45">
        <v>77010000126</v>
      </c>
      <c r="B126" s="46">
        <f>INDEX('База данных'!$B$2:$B$624,MATCH(A126,'База данных'!$A$2:$A$624,0))</f>
        <v>2</v>
      </c>
      <c r="C126" s="47">
        <f>SUMIF('База данных'!$A$2:$A$624,A126,'База данных'!$D$2:$D$624)</f>
        <v>24.72</v>
      </c>
      <c r="D126" s="46">
        <f>SUMIF('База данных'!$A$2:$A$624,A126,'База данных'!$E$2:$E$624)</f>
        <v>58</v>
      </c>
      <c r="E126" s="46" t="str">
        <f t="shared" si="2"/>
        <v/>
      </c>
      <c r="F126" s="46">
        <f t="shared" si="3"/>
        <v>35</v>
      </c>
    </row>
    <row r="127" spans="1:6" x14ac:dyDescent="0.35">
      <c r="A127" s="45">
        <v>77010000127</v>
      </c>
      <c r="B127" s="46">
        <f>INDEX('База данных'!$B$2:$B$624,MATCH(A127,'База данных'!$A$2:$A$624,0))</f>
        <v>2</v>
      </c>
      <c r="C127" s="47">
        <f>SUMIF('База данных'!$A$2:$A$624,A127,'База данных'!$D$2:$D$624)</f>
        <v>39.200000000000003</v>
      </c>
      <c r="D127" s="46">
        <f>SUMIF('База данных'!$A$2:$A$624,A127,'База данных'!$E$2:$E$624)</f>
        <v>37</v>
      </c>
      <c r="E127" s="46" t="str">
        <f t="shared" si="2"/>
        <v/>
      </c>
      <c r="F127" s="46">
        <f t="shared" si="3"/>
        <v>12</v>
      </c>
    </row>
    <row r="128" spans="1:6" x14ac:dyDescent="0.35">
      <c r="A128" s="45">
        <v>77010000128</v>
      </c>
      <c r="B128" s="46">
        <f>INDEX('База данных'!$B$2:$B$624,MATCH(A128,'База данных'!$A$2:$A$624,0))</f>
        <v>2</v>
      </c>
      <c r="C128" s="47">
        <f>SUMIF('База данных'!$A$2:$A$624,A128,'База данных'!$D$2:$D$624)</f>
        <v>11.57</v>
      </c>
      <c r="D128" s="46">
        <f>SUMIF('База данных'!$A$2:$A$624,A128,'База данных'!$E$2:$E$624)</f>
        <v>36</v>
      </c>
      <c r="E128" s="46" t="str">
        <f t="shared" si="2"/>
        <v/>
      </c>
      <c r="F128" s="46">
        <f t="shared" si="3"/>
        <v>145</v>
      </c>
    </row>
    <row r="129" spans="1:6" x14ac:dyDescent="0.35">
      <c r="A129" s="45">
        <v>77010000129</v>
      </c>
      <c r="B129" s="46">
        <f>INDEX('База данных'!$B$2:$B$624,MATCH(A129,'База данных'!$A$2:$A$624,0))</f>
        <v>2</v>
      </c>
      <c r="C129" s="47">
        <f>SUMIF('База данных'!$A$2:$A$624,A129,'База данных'!$D$2:$D$624)</f>
        <v>30.689999999999998</v>
      </c>
      <c r="D129" s="46">
        <f>SUMIF('База данных'!$A$2:$A$624,A129,'База данных'!$E$2:$E$624)</f>
        <v>72</v>
      </c>
      <c r="E129" s="46" t="str">
        <f t="shared" si="2"/>
        <v/>
      </c>
      <c r="F129" s="46">
        <f t="shared" si="3"/>
        <v>16</v>
      </c>
    </row>
    <row r="130" spans="1:6" x14ac:dyDescent="0.35">
      <c r="A130" s="45">
        <v>77010000130</v>
      </c>
      <c r="B130" s="46">
        <f>INDEX('База данных'!$B$2:$B$624,MATCH(A130,'База данных'!$A$2:$A$624,0))</f>
        <v>3</v>
      </c>
      <c r="C130" s="47">
        <f>SUMIF('База данных'!$A$2:$A$624,A130,'База данных'!$D$2:$D$624)</f>
        <v>48.16</v>
      </c>
      <c r="D130" s="46">
        <f>SUMIF('База данных'!$A$2:$A$624,A130,'База данных'!$E$2:$E$624)</f>
        <v>113</v>
      </c>
      <c r="E130" s="46" t="str">
        <f t="shared" ref="E130:E193" si="4">IF(B130=5,D130,"")</f>
        <v/>
      </c>
      <c r="F130" s="46">
        <f t="shared" ref="F130:F193" si="5">RANK(C130,$C$2:$C$293)</f>
        <v>5</v>
      </c>
    </row>
    <row r="131" spans="1:6" x14ac:dyDescent="0.35">
      <c r="A131" s="45">
        <v>77010000131</v>
      </c>
      <c r="B131" s="46">
        <f>INDEX('База данных'!$B$2:$B$624,MATCH(A131,'База данных'!$A$2:$A$624,0))</f>
        <v>3</v>
      </c>
      <c r="C131" s="47">
        <f>SUMIF('База данных'!$A$2:$A$624,A131,'База данных'!$D$2:$D$624)</f>
        <v>20.880000000000003</v>
      </c>
      <c r="D131" s="46">
        <f>SUMIF('База данных'!$A$2:$A$624,A131,'База данных'!$E$2:$E$624)</f>
        <v>49</v>
      </c>
      <c r="E131" s="46" t="str">
        <f t="shared" si="4"/>
        <v/>
      </c>
      <c r="F131" s="46">
        <f t="shared" si="5"/>
        <v>53</v>
      </c>
    </row>
    <row r="132" spans="1:6" x14ac:dyDescent="0.35">
      <c r="A132" s="45">
        <v>77010000132</v>
      </c>
      <c r="B132" s="46">
        <f>INDEX('База данных'!$B$2:$B$624,MATCH(A132,'База данных'!$A$2:$A$624,0))</f>
        <v>3</v>
      </c>
      <c r="C132" s="47">
        <f>SUMIF('База данных'!$A$2:$A$624,A132,'База данных'!$D$2:$D$624)</f>
        <v>33.67</v>
      </c>
      <c r="D132" s="46">
        <f>SUMIF('База данных'!$A$2:$A$624,A132,'База данных'!$E$2:$E$624)</f>
        <v>110</v>
      </c>
      <c r="E132" s="46" t="str">
        <f t="shared" si="4"/>
        <v/>
      </c>
      <c r="F132" s="46">
        <f t="shared" si="5"/>
        <v>14</v>
      </c>
    </row>
    <row r="133" spans="1:6" x14ac:dyDescent="0.35">
      <c r="A133" s="45">
        <v>77010000133</v>
      </c>
      <c r="B133" s="46">
        <f>INDEX('База данных'!$B$2:$B$624,MATCH(A133,'База данных'!$A$2:$A$624,0))</f>
        <v>3</v>
      </c>
      <c r="C133" s="47">
        <f>SUMIF('База данных'!$A$2:$A$624,A133,'База данных'!$D$2:$D$624)</f>
        <v>41.769999999999996</v>
      </c>
      <c r="D133" s="46">
        <f>SUMIF('База данных'!$A$2:$A$624,A133,'База данных'!$E$2:$E$624)</f>
        <v>98</v>
      </c>
      <c r="E133" s="46" t="str">
        <f t="shared" si="4"/>
        <v/>
      </c>
      <c r="F133" s="46">
        <f t="shared" si="5"/>
        <v>7</v>
      </c>
    </row>
    <row r="134" spans="1:6" x14ac:dyDescent="0.35">
      <c r="A134" s="45">
        <v>77010000134</v>
      </c>
      <c r="B134" s="46">
        <f>INDEX('База данных'!$B$2:$B$624,MATCH(A134,'База данных'!$A$2:$A$624,0))</f>
        <v>3</v>
      </c>
      <c r="C134" s="47">
        <f>SUMIF('База данных'!$A$2:$A$624,A134,'База данных'!$D$2:$D$624)</f>
        <v>12.36</v>
      </c>
      <c r="D134" s="46">
        <f>SUMIF('База данных'!$A$2:$A$624,A134,'База данных'!$E$2:$E$624)</f>
        <v>29</v>
      </c>
      <c r="E134" s="46" t="str">
        <f t="shared" si="4"/>
        <v/>
      </c>
      <c r="F134" s="46">
        <f t="shared" si="5"/>
        <v>135</v>
      </c>
    </row>
    <row r="135" spans="1:6" x14ac:dyDescent="0.35">
      <c r="A135" s="45">
        <v>77010000135</v>
      </c>
      <c r="B135" s="46">
        <f>INDEX('База данных'!$B$2:$B$624,MATCH(A135,'База данных'!$A$2:$A$624,0))</f>
        <v>3</v>
      </c>
      <c r="C135" s="47">
        <f>SUMIF('База данных'!$A$2:$A$624,A135,'База данных'!$D$2:$D$624)</f>
        <v>6.39</v>
      </c>
      <c r="D135" s="46">
        <f>SUMIF('База данных'!$A$2:$A$624,A135,'База данных'!$E$2:$E$624)</f>
        <v>15</v>
      </c>
      <c r="E135" s="46" t="str">
        <f t="shared" si="4"/>
        <v/>
      </c>
      <c r="F135" s="46">
        <f t="shared" si="5"/>
        <v>218</v>
      </c>
    </row>
    <row r="136" spans="1:6" x14ac:dyDescent="0.35">
      <c r="A136" s="45">
        <v>77010000136</v>
      </c>
      <c r="B136" s="46">
        <f>INDEX('База данных'!$B$2:$B$624,MATCH(A136,'База данных'!$A$2:$A$624,0))</f>
        <v>3</v>
      </c>
      <c r="C136" s="47">
        <f>SUMIF('База данных'!$A$2:$A$624,A136,'База данных'!$D$2:$D$624)</f>
        <v>15.350000000000001</v>
      </c>
      <c r="D136" s="46">
        <f>SUMIF('База данных'!$A$2:$A$624,A136,'База данных'!$E$2:$E$624)</f>
        <v>36</v>
      </c>
      <c r="E136" s="46" t="str">
        <f t="shared" si="4"/>
        <v/>
      </c>
      <c r="F136" s="46">
        <f t="shared" si="5"/>
        <v>89</v>
      </c>
    </row>
    <row r="137" spans="1:6" x14ac:dyDescent="0.35">
      <c r="A137" s="45">
        <v>77010000137</v>
      </c>
      <c r="B137" s="46">
        <f>INDEX('База данных'!$B$2:$B$624,MATCH(A137,'База данных'!$A$2:$A$624,0))</f>
        <v>3</v>
      </c>
      <c r="C137" s="47">
        <f>SUMIF('База данных'!$A$2:$A$624,A137,'База данных'!$D$2:$D$624)</f>
        <v>4.26</v>
      </c>
      <c r="D137" s="46">
        <f>SUMIF('База данных'!$A$2:$A$624,A137,'База данных'!$E$2:$E$624)</f>
        <v>10</v>
      </c>
      <c r="E137" s="46" t="str">
        <f t="shared" si="4"/>
        <v/>
      </c>
      <c r="F137" s="46">
        <f t="shared" si="5"/>
        <v>240</v>
      </c>
    </row>
    <row r="138" spans="1:6" x14ac:dyDescent="0.35">
      <c r="A138" s="45">
        <v>77010000138</v>
      </c>
      <c r="B138" s="46">
        <f>INDEX('База данных'!$B$2:$B$624,MATCH(A138,'База данных'!$A$2:$A$624,0))</f>
        <v>3</v>
      </c>
      <c r="C138" s="47">
        <f>SUMIF('База данных'!$A$2:$A$624,A138,'База данных'!$D$2:$D$624)</f>
        <v>0.43</v>
      </c>
      <c r="D138" s="46">
        <f>SUMIF('База данных'!$A$2:$A$624,A138,'База данных'!$E$2:$E$624)</f>
        <v>1</v>
      </c>
      <c r="E138" s="46" t="str">
        <f t="shared" si="4"/>
        <v/>
      </c>
      <c r="F138" s="46">
        <f t="shared" si="5"/>
        <v>285</v>
      </c>
    </row>
    <row r="139" spans="1:6" x14ac:dyDescent="0.35">
      <c r="A139" s="45">
        <v>77010000139</v>
      </c>
      <c r="B139" s="46">
        <f>INDEX('База данных'!$B$2:$B$624,MATCH(A139,'База данных'!$A$2:$A$624,0))</f>
        <v>3</v>
      </c>
      <c r="C139" s="47">
        <f>SUMIF('База данных'!$A$2:$A$624,A139,'База данных'!$D$2:$D$624)</f>
        <v>5.1100000000000003</v>
      </c>
      <c r="D139" s="46">
        <f>SUMIF('База данных'!$A$2:$A$624,A139,'База данных'!$E$2:$E$624)</f>
        <v>12</v>
      </c>
      <c r="E139" s="46" t="str">
        <f t="shared" si="4"/>
        <v/>
      </c>
      <c r="F139" s="46">
        <f t="shared" si="5"/>
        <v>233</v>
      </c>
    </row>
    <row r="140" spans="1:6" x14ac:dyDescent="0.35">
      <c r="A140" s="45">
        <v>77010000140</v>
      </c>
      <c r="B140" s="46">
        <f>INDEX('База данных'!$B$2:$B$624,MATCH(A140,'База данных'!$A$2:$A$624,0))</f>
        <v>3</v>
      </c>
      <c r="C140" s="47">
        <f>SUMIF('База данных'!$A$2:$A$624,A140,'База данных'!$D$2:$D$624)</f>
        <v>18.75</v>
      </c>
      <c r="D140" s="46">
        <f>SUMIF('База данных'!$A$2:$A$624,A140,'База данных'!$E$2:$E$624)</f>
        <v>44</v>
      </c>
      <c r="E140" s="46" t="str">
        <f t="shared" si="4"/>
        <v/>
      </c>
      <c r="F140" s="46">
        <f t="shared" si="5"/>
        <v>63</v>
      </c>
    </row>
    <row r="141" spans="1:6" x14ac:dyDescent="0.35">
      <c r="A141" s="45">
        <v>77010000141</v>
      </c>
      <c r="B141" s="46">
        <f>INDEX('База данных'!$B$2:$B$624,MATCH(A141,'База данных'!$A$2:$A$624,0))</f>
        <v>3</v>
      </c>
      <c r="C141" s="47">
        <f>SUMIF('База данных'!$A$2:$A$624,A141,'База данных'!$D$2:$D$624)</f>
        <v>8.9499999999999993</v>
      </c>
      <c r="D141" s="46">
        <f>SUMIF('База данных'!$A$2:$A$624,A141,'База данных'!$E$2:$E$624)</f>
        <v>21</v>
      </c>
      <c r="E141" s="46" t="str">
        <f t="shared" si="4"/>
        <v/>
      </c>
      <c r="F141" s="46">
        <f t="shared" si="5"/>
        <v>172</v>
      </c>
    </row>
    <row r="142" spans="1:6" x14ac:dyDescent="0.35">
      <c r="A142" s="45">
        <v>77010000142</v>
      </c>
      <c r="B142" s="46">
        <f>INDEX('База данных'!$B$2:$B$624,MATCH(A142,'База данных'!$A$2:$A$624,0))</f>
        <v>3</v>
      </c>
      <c r="C142" s="47">
        <f>SUMIF('База данных'!$A$2:$A$624,A142,'База данных'!$D$2:$D$624)</f>
        <v>40.49</v>
      </c>
      <c r="D142" s="46">
        <f>SUMIF('База данных'!$A$2:$A$624,A142,'База данных'!$E$2:$E$624)</f>
        <v>95</v>
      </c>
      <c r="E142" s="46" t="str">
        <f t="shared" si="4"/>
        <v/>
      </c>
      <c r="F142" s="46">
        <f t="shared" si="5"/>
        <v>10</v>
      </c>
    </row>
    <row r="143" spans="1:6" x14ac:dyDescent="0.35">
      <c r="A143" s="45">
        <v>77010000143</v>
      </c>
      <c r="B143" s="46">
        <f>INDEX('База данных'!$B$2:$B$624,MATCH(A143,'База данных'!$A$2:$A$624,0))</f>
        <v>3</v>
      </c>
      <c r="C143" s="47">
        <f>SUMIF('База данных'!$A$2:$A$624,A143,'База данных'!$D$2:$D$624)</f>
        <v>7.67</v>
      </c>
      <c r="D143" s="46">
        <f>SUMIF('База данных'!$A$2:$A$624,A143,'База данных'!$E$2:$E$624)</f>
        <v>18</v>
      </c>
      <c r="E143" s="46" t="str">
        <f t="shared" si="4"/>
        <v/>
      </c>
      <c r="F143" s="46">
        <f t="shared" si="5"/>
        <v>202</v>
      </c>
    </row>
    <row r="144" spans="1:6" x14ac:dyDescent="0.35">
      <c r="A144" s="45">
        <v>77010000144</v>
      </c>
      <c r="B144" s="46">
        <f>INDEX('База данных'!$B$2:$B$624,MATCH(A144,'База данных'!$A$2:$A$624,0))</f>
        <v>3</v>
      </c>
      <c r="C144" s="47">
        <f>SUMIF('База данных'!$A$2:$A$624,A144,'База данных'!$D$2:$D$624)</f>
        <v>6.39</v>
      </c>
      <c r="D144" s="46">
        <f>SUMIF('База данных'!$A$2:$A$624,A144,'База данных'!$E$2:$E$624)</f>
        <v>15</v>
      </c>
      <c r="E144" s="46" t="str">
        <f t="shared" si="4"/>
        <v/>
      </c>
      <c r="F144" s="46">
        <f t="shared" si="5"/>
        <v>218</v>
      </c>
    </row>
    <row r="145" spans="1:6" x14ac:dyDescent="0.35">
      <c r="A145" s="45">
        <v>77010000145</v>
      </c>
      <c r="B145" s="46">
        <f>INDEX('База данных'!$B$2:$B$624,MATCH(A145,'База данных'!$A$2:$A$624,0))</f>
        <v>3</v>
      </c>
      <c r="C145" s="47">
        <f>SUMIF('База данных'!$A$2:$A$624,A145,'База данных'!$D$2:$D$624)</f>
        <v>3.84</v>
      </c>
      <c r="D145" s="46">
        <f>SUMIF('База данных'!$A$2:$A$624,A145,'База данных'!$E$2:$E$624)</f>
        <v>9</v>
      </c>
      <c r="E145" s="46" t="str">
        <f t="shared" si="4"/>
        <v/>
      </c>
      <c r="F145" s="46">
        <f t="shared" si="5"/>
        <v>258</v>
      </c>
    </row>
    <row r="146" spans="1:6" x14ac:dyDescent="0.35">
      <c r="A146" s="45">
        <v>77010000146</v>
      </c>
      <c r="B146" s="46">
        <f>INDEX('База данных'!$B$2:$B$624,MATCH(A146,'База данных'!$A$2:$A$624,0))</f>
        <v>3</v>
      </c>
      <c r="C146" s="47">
        <f>SUMIF('База данных'!$A$2:$A$624,A146,'База данных'!$D$2:$D$624)</f>
        <v>15.77</v>
      </c>
      <c r="D146" s="46">
        <f>SUMIF('База данных'!$A$2:$A$624,A146,'База данных'!$E$2:$E$624)</f>
        <v>37</v>
      </c>
      <c r="E146" s="46" t="str">
        <f t="shared" si="4"/>
        <v/>
      </c>
      <c r="F146" s="46">
        <f t="shared" si="5"/>
        <v>82</v>
      </c>
    </row>
    <row r="147" spans="1:6" x14ac:dyDescent="0.35">
      <c r="A147" s="45">
        <v>77010000147</v>
      </c>
      <c r="B147" s="46">
        <f>INDEX('База данных'!$B$2:$B$624,MATCH(A147,'База данных'!$A$2:$A$624,0))</f>
        <v>4</v>
      </c>
      <c r="C147" s="47">
        <f>SUMIF('База данных'!$A$2:$A$624,A147,'База данных'!$D$2:$D$624)</f>
        <v>6.5</v>
      </c>
      <c r="D147" s="46">
        <f>SUMIF('База данных'!$A$2:$A$624,A147,'База данных'!$E$2:$E$624)</f>
        <v>16</v>
      </c>
      <c r="E147" s="46" t="str">
        <f t="shared" si="4"/>
        <v/>
      </c>
      <c r="F147" s="46">
        <f t="shared" si="5"/>
        <v>217</v>
      </c>
    </row>
    <row r="148" spans="1:6" x14ac:dyDescent="0.35">
      <c r="A148" s="45">
        <v>77010000148</v>
      </c>
      <c r="B148" s="46">
        <f>INDEX('База данных'!$B$2:$B$624,MATCH(A148,'База данных'!$A$2:$A$624,0))</f>
        <v>4</v>
      </c>
      <c r="C148" s="47">
        <f>SUMIF('База данных'!$A$2:$A$624,A148,'База данных'!$D$2:$D$624)</f>
        <v>15.440000000000001</v>
      </c>
      <c r="D148" s="46">
        <f>SUMIF('База данных'!$A$2:$A$624,A148,'База данных'!$E$2:$E$624)</f>
        <v>38</v>
      </c>
      <c r="E148" s="46" t="str">
        <f t="shared" si="4"/>
        <v/>
      </c>
      <c r="F148" s="46">
        <f t="shared" si="5"/>
        <v>88</v>
      </c>
    </row>
    <row r="149" spans="1:6" x14ac:dyDescent="0.35">
      <c r="A149" s="45">
        <v>77010000149</v>
      </c>
      <c r="B149" s="46">
        <f>INDEX('База данных'!$B$2:$B$624,MATCH(A149,'База данных'!$A$2:$A$624,0))</f>
        <v>4</v>
      </c>
      <c r="C149" s="47">
        <f>SUMIF('База данных'!$A$2:$A$624,A149,'База данных'!$D$2:$D$624)</f>
        <v>16.25</v>
      </c>
      <c r="D149" s="46">
        <f>SUMIF('База данных'!$A$2:$A$624,A149,'База данных'!$E$2:$E$624)</f>
        <v>40</v>
      </c>
      <c r="E149" s="46" t="str">
        <f t="shared" si="4"/>
        <v/>
      </c>
      <c r="F149" s="46">
        <f t="shared" si="5"/>
        <v>78</v>
      </c>
    </row>
    <row r="150" spans="1:6" x14ac:dyDescent="0.35">
      <c r="A150" s="45">
        <v>77010000150</v>
      </c>
      <c r="B150" s="46">
        <f>INDEX('База данных'!$B$2:$B$624,MATCH(A150,'База данных'!$A$2:$A$624,0))</f>
        <v>4</v>
      </c>
      <c r="C150" s="47">
        <f>SUMIF('База данных'!$A$2:$A$624,A150,'База данных'!$D$2:$D$624)</f>
        <v>21.130000000000003</v>
      </c>
      <c r="D150" s="46">
        <f>SUMIF('База данных'!$A$2:$A$624,A150,'База данных'!$E$2:$E$624)</f>
        <v>52</v>
      </c>
      <c r="E150" s="46" t="str">
        <f t="shared" si="4"/>
        <v/>
      </c>
      <c r="F150" s="46">
        <f t="shared" si="5"/>
        <v>52</v>
      </c>
    </row>
    <row r="151" spans="1:6" x14ac:dyDescent="0.35">
      <c r="A151" s="45">
        <v>77010000151</v>
      </c>
      <c r="B151" s="46">
        <f>INDEX('База данных'!$B$2:$B$624,MATCH(A151,'База данных'!$A$2:$A$624,0))</f>
        <v>4</v>
      </c>
      <c r="C151" s="47">
        <f>SUMIF('База данных'!$A$2:$A$624,A151,'База данных'!$D$2:$D$624)</f>
        <v>26.82</v>
      </c>
      <c r="D151" s="46">
        <f>SUMIF('База данных'!$A$2:$A$624,A151,'База данных'!$E$2:$E$624)</f>
        <v>66</v>
      </c>
      <c r="E151" s="46" t="str">
        <f t="shared" si="4"/>
        <v/>
      </c>
      <c r="F151" s="46">
        <f t="shared" si="5"/>
        <v>27</v>
      </c>
    </row>
    <row r="152" spans="1:6" x14ac:dyDescent="0.35">
      <c r="A152" s="45">
        <v>77010000152</v>
      </c>
      <c r="B152" s="46">
        <f>INDEX('База данных'!$B$2:$B$624,MATCH(A152,'База данных'!$A$2:$A$624,0))</f>
        <v>4</v>
      </c>
      <c r="C152" s="47">
        <f>SUMIF('База данных'!$A$2:$A$624,A152,'База данных'!$D$2:$D$624)</f>
        <v>8.5299999999999994</v>
      </c>
      <c r="D152" s="46">
        <f>SUMIF('База данных'!$A$2:$A$624,A152,'База данных'!$E$2:$E$624)</f>
        <v>21</v>
      </c>
      <c r="E152" s="46" t="str">
        <f t="shared" si="4"/>
        <v/>
      </c>
      <c r="F152" s="46">
        <f t="shared" si="5"/>
        <v>175</v>
      </c>
    </row>
    <row r="153" spans="1:6" x14ac:dyDescent="0.35">
      <c r="A153" s="45">
        <v>77010000153</v>
      </c>
      <c r="B153" s="46">
        <f>INDEX('База данных'!$B$2:$B$624,MATCH(A153,'База данных'!$A$2:$A$624,0))</f>
        <v>4</v>
      </c>
      <c r="C153" s="47">
        <f>SUMIF('База данных'!$A$2:$A$624,A153,'База данных'!$D$2:$D$624)</f>
        <v>18.690000000000001</v>
      </c>
      <c r="D153" s="46">
        <f>SUMIF('База данных'!$A$2:$A$624,A153,'База данных'!$E$2:$E$624)</f>
        <v>46</v>
      </c>
      <c r="E153" s="46" t="str">
        <f t="shared" si="4"/>
        <v/>
      </c>
      <c r="F153" s="46">
        <f t="shared" si="5"/>
        <v>64</v>
      </c>
    </row>
    <row r="154" spans="1:6" x14ac:dyDescent="0.35">
      <c r="A154" s="45">
        <v>77010000154</v>
      </c>
      <c r="B154" s="46">
        <f>INDEX('База данных'!$B$2:$B$624,MATCH(A154,'База данных'!$A$2:$A$624,0))</f>
        <v>4</v>
      </c>
      <c r="C154" s="47">
        <f>SUMIF('База данных'!$A$2:$A$624,A154,'База данных'!$D$2:$D$624)</f>
        <v>9.75</v>
      </c>
      <c r="D154" s="46">
        <f>SUMIF('База данных'!$A$2:$A$624,A154,'База данных'!$E$2:$E$624)</f>
        <v>24</v>
      </c>
      <c r="E154" s="46" t="str">
        <f t="shared" si="4"/>
        <v/>
      </c>
      <c r="F154" s="46">
        <f t="shared" si="5"/>
        <v>165</v>
      </c>
    </row>
    <row r="155" spans="1:6" x14ac:dyDescent="0.35">
      <c r="A155" s="45">
        <v>77010000162</v>
      </c>
      <c r="B155" s="46">
        <f>INDEX('База данных'!$B$2:$B$624,MATCH(A155,'База данных'!$A$2:$A$624,0))</f>
        <v>5</v>
      </c>
      <c r="C155" s="47">
        <f>SUMIF('База данных'!$A$2:$A$624,A155,'База данных'!$D$2:$D$624)</f>
        <v>2.56</v>
      </c>
      <c r="D155" s="46">
        <f>SUMIF('База данных'!$A$2:$A$624,A155,'База данных'!$E$2:$E$624)</f>
        <v>6</v>
      </c>
      <c r="E155" s="46">
        <f t="shared" si="4"/>
        <v>6</v>
      </c>
      <c r="F155" s="46">
        <f t="shared" si="5"/>
        <v>267</v>
      </c>
    </row>
    <row r="156" spans="1:6" x14ac:dyDescent="0.35">
      <c r="A156" s="45">
        <v>77010000163</v>
      </c>
      <c r="B156" s="46">
        <f>INDEX('База данных'!$B$2:$B$624,MATCH(A156,'База данных'!$A$2:$A$624,0))</f>
        <v>5</v>
      </c>
      <c r="C156" s="47">
        <f>SUMIF('База данных'!$A$2:$A$624,A156,'База данных'!$D$2:$D$624)</f>
        <v>9.99</v>
      </c>
      <c r="D156" s="46">
        <f>SUMIF('База данных'!$A$2:$A$624,A156,'База данных'!$E$2:$E$624)</f>
        <v>8</v>
      </c>
      <c r="E156" s="46">
        <f t="shared" si="4"/>
        <v>8</v>
      </c>
      <c r="F156" s="46">
        <f t="shared" si="5"/>
        <v>159</v>
      </c>
    </row>
    <row r="157" spans="1:6" x14ac:dyDescent="0.35">
      <c r="A157" s="45">
        <v>77010000164</v>
      </c>
      <c r="B157" s="46">
        <f>INDEX('База данных'!$B$2:$B$624,MATCH(A157,'База данных'!$A$2:$A$624,0))</f>
        <v>5</v>
      </c>
      <c r="C157" s="47">
        <f>SUMIF('База данных'!$A$2:$A$624,A157,'База данных'!$D$2:$D$624)</f>
        <v>3.4</v>
      </c>
      <c r="D157" s="46">
        <f>SUMIF('База данных'!$A$2:$A$624,A157,'База данных'!$E$2:$E$624)</f>
        <v>8</v>
      </c>
      <c r="E157" s="46">
        <f t="shared" si="4"/>
        <v>8</v>
      </c>
      <c r="F157" s="46">
        <f t="shared" si="5"/>
        <v>263</v>
      </c>
    </row>
    <row r="158" spans="1:6" x14ac:dyDescent="0.35">
      <c r="A158" s="45">
        <v>77010000165</v>
      </c>
      <c r="B158" s="46">
        <f>INDEX('База данных'!$B$2:$B$624,MATCH(A158,'База данных'!$A$2:$A$624,0))</f>
        <v>5</v>
      </c>
      <c r="C158" s="47">
        <f>SUMIF('База данных'!$A$2:$A$624,A158,'База данных'!$D$2:$D$624)</f>
        <v>1.28</v>
      </c>
      <c r="D158" s="46">
        <f>SUMIF('База данных'!$A$2:$A$624,A158,'База данных'!$E$2:$E$624)</f>
        <v>3</v>
      </c>
      <c r="E158" s="46">
        <f t="shared" si="4"/>
        <v>3</v>
      </c>
      <c r="F158" s="46">
        <f t="shared" si="5"/>
        <v>274</v>
      </c>
    </row>
    <row r="159" spans="1:6" x14ac:dyDescent="0.35">
      <c r="A159" s="45">
        <v>77010000166</v>
      </c>
      <c r="B159" s="46">
        <f>INDEX('База данных'!$B$2:$B$624,MATCH(A159,'База данных'!$A$2:$A$624,0))</f>
        <v>5</v>
      </c>
      <c r="C159" s="47">
        <f>SUMIF('База данных'!$A$2:$A$624,A159,'База данных'!$D$2:$D$624)</f>
        <v>10.84</v>
      </c>
      <c r="D159" s="46">
        <f>SUMIF('База данных'!$A$2:$A$624,A159,'База данных'!$E$2:$E$624)</f>
        <v>9</v>
      </c>
      <c r="E159" s="46">
        <f t="shared" si="4"/>
        <v>9</v>
      </c>
      <c r="F159" s="46">
        <f t="shared" si="5"/>
        <v>151</v>
      </c>
    </row>
    <row r="160" spans="1:6" x14ac:dyDescent="0.35">
      <c r="A160" s="45">
        <v>77010000167</v>
      </c>
      <c r="B160" s="46">
        <f>INDEX('База данных'!$B$2:$B$624,MATCH(A160,'База данных'!$A$2:$A$624,0))</f>
        <v>5</v>
      </c>
      <c r="C160" s="47">
        <f>SUMIF('База данных'!$A$2:$A$624,A160,'База данных'!$D$2:$D$624)</f>
        <v>2.13</v>
      </c>
      <c r="D160" s="46">
        <f>SUMIF('База данных'!$A$2:$A$624,A160,'База данных'!$E$2:$E$624)</f>
        <v>5</v>
      </c>
      <c r="E160" s="46">
        <f t="shared" si="4"/>
        <v>5</v>
      </c>
      <c r="F160" s="46">
        <f t="shared" si="5"/>
        <v>271</v>
      </c>
    </row>
    <row r="161" spans="1:6" x14ac:dyDescent="0.35">
      <c r="A161" s="45">
        <v>77010000168</v>
      </c>
      <c r="B161" s="46">
        <f>INDEX('База данных'!$B$2:$B$624,MATCH(A161,'База данных'!$A$2:$A$624,0))</f>
        <v>5</v>
      </c>
      <c r="C161" s="47">
        <f>SUMIF('База данных'!$A$2:$A$624,A161,'База данных'!$D$2:$D$624)</f>
        <v>1.28</v>
      </c>
      <c r="D161" s="46">
        <f>SUMIF('База данных'!$A$2:$A$624,A161,'База данных'!$E$2:$E$624)</f>
        <v>3</v>
      </c>
      <c r="E161" s="46">
        <f t="shared" si="4"/>
        <v>3</v>
      </c>
      <c r="F161" s="46">
        <f t="shared" si="5"/>
        <v>274</v>
      </c>
    </row>
    <row r="162" spans="1:6" x14ac:dyDescent="0.35">
      <c r="A162" s="45">
        <v>77010000169</v>
      </c>
      <c r="B162" s="46">
        <f>INDEX('База данных'!$B$2:$B$624,MATCH(A162,'База данных'!$A$2:$A$624,0))</f>
        <v>5</v>
      </c>
      <c r="C162" s="47">
        <f>SUMIF('База данных'!$A$2:$A$624,A162,'База данных'!$D$2:$D$624)</f>
        <v>6.8100000000000005</v>
      </c>
      <c r="D162" s="46">
        <f>SUMIF('База данных'!$A$2:$A$624,A162,'База данных'!$E$2:$E$624)</f>
        <v>16</v>
      </c>
      <c r="E162" s="46">
        <f t="shared" si="4"/>
        <v>16</v>
      </c>
      <c r="F162" s="46">
        <f t="shared" si="5"/>
        <v>216</v>
      </c>
    </row>
    <row r="163" spans="1:6" x14ac:dyDescent="0.35">
      <c r="A163" s="45">
        <v>77010000170</v>
      </c>
      <c r="B163" s="46">
        <f>INDEX('База данных'!$B$2:$B$624,MATCH(A163,'База данных'!$A$2:$A$624,0))</f>
        <v>5</v>
      </c>
      <c r="C163" s="47">
        <f>SUMIF('База данных'!$A$2:$A$624,A163,'База данных'!$D$2:$D$624)</f>
        <v>12.370000000000001</v>
      </c>
      <c r="D163" s="46">
        <f>SUMIF('База данных'!$A$2:$A$624,A163,'База данных'!$E$2:$E$624)</f>
        <v>29</v>
      </c>
      <c r="E163" s="46">
        <f t="shared" si="4"/>
        <v>29</v>
      </c>
      <c r="F163" s="46">
        <f t="shared" si="5"/>
        <v>134</v>
      </c>
    </row>
    <row r="164" spans="1:6" x14ac:dyDescent="0.35">
      <c r="A164" s="45">
        <v>77010000171</v>
      </c>
      <c r="B164" s="46">
        <f>INDEX('База данных'!$B$2:$B$624,MATCH(A164,'База данных'!$A$2:$A$624,0))</f>
        <v>5</v>
      </c>
      <c r="C164" s="47">
        <f>SUMIF('База данных'!$A$2:$A$624,A164,'База данных'!$D$2:$D$624)</f>
        <v>4.6900000000000004</v>
      </c>
      <c r="D164" s="46">
        <f>SUMIF('База данных'!$A$2:$A$624,A164,'База данных'!$E$2:$E$624)</f>
        <v>12</v>
      </c>
      <c r="E164" s="46">
        <f t="shared" si="4"/>
        <v>12</v>
      </c>
      <c r="F164" s="46">
        <f t="shared" si="5"/>
        <v>234</v>
      </c>
    </row>
    <row r="165" spans="1:6" x14ac:dyDescent="0.35">
      <c r="A165" s="45">
        <v>77010000172</v>
      </c>
      <c r="B165" s="46">
        <f>INDEX('База данных'!$B$2:$B$624,MATCH(A165,'База данных'!$A$2:$A$624,0))</f>
        <v>5</v>
      </c>
      <c r="C165" s="47">
        <f>SUMIF('База данных'!$A$2:$A$624,A165,'База данных'!$D$2:$D$624)</f>
        <v>19.549999999999997</v>
      </c>
      <c r="D165" s="46">
        <f>SUMIF('База данных'!$A$2:$A$624,A165,'База данных'!$E$2:$E$624)</f>
        <v>22</v>
      </c>
      <c r="E165" s="46">
        <f t="shared" si="4"/>
        <v>22</v>
      </c>
      <c r="F165" s="46">
        <f t="shared" si="5"/>
        <v>59</v>
      </c>
    </row>
    <row r="166" spans="1:6" x14ac:dyDescent="0.35">
      <c r="A166" s="45">
        <v>77010000173</v>
      </c>
      <c r="B166" s="46">
        <f>INDEX('База данных'!$B$2:$B$624,MATCH(A166,'База данных'!$A$2:$A$624,0))</f>
        <v>5</v>
      </c>
      <c r="C166" s="47">
        <f>SUMIF('База данных'!$A$2:$A$624,A166,'База данных'!$D$2:$D$624)</f>
        <v>10.66</v>
      </c>
      <c r="D166" s="46">
        <f>SUMIF('База данных'!$A$2:$A$624,A166,'База данных'!$E$2:$E$624)</f>
        <v>25</v>
      </c>
      <c r="E166" s="46">
        <f t="shared" si="4"/>
        <v>25</v>
      </c>
      <c r="F166" s="46">
        <f t="shared" si="5"/>
        <v>152</v>
      </c>
    </row>
    <row r="167" spans="1:6" x14ac:dyDescent="0.35">
      <c r="A167" s="45">
        <v>77010000174</v>
      </c>
      <c r="B167" s="46">
        <f>INDEX('База данных'!$B$2:$B$624,MATCH(A167,'База данных'!$A$2:$A$624,0))</f>
        <v>5</v>
      </c>
      <c r="C167" s="47">
        <f>SUMIF('База данных'!$A$2:$A$624,A167,'База данных'!$D$2:$D$624)</f>
        <v>0</v>
      </c>
      <c r="D167" s="46">
        <f>SUMIF('База данных'!$A$2:$A$624,A167,'База данных'!$E$2:$E$624)</f>
        <v>0</v>
      </c>
      <c r="E167" s="46">
        <f t="shared" si="4"/>
        <v>0</v>
      </c>
      <c r="F167" s="46">
        <f t="shared" si="5"/>
        <v>291</v>
      </c>
    </row>
    <row r="168" spans="1:6" x14ac:dyDescent="0.35">
      <c r="A168" s="45">
        <v>77010000175</v>
      </c>
      <c r="B168" s="46">
        <f>INDEX('База данных'!$B$2:$B$624,MATCH(A168,'База данных'!$A$2:$A$624,0))</f>
        <v>5</v>
      </c>
      <c r="C168" s="47">
        <f>SUMIF('База данных'!$A$2:$A$624,A168,'База данных'!$D$2:$D$624)</f>
        <v>7.8599999999999994</v>
      </c>
      <c r="D168" s="46">
        <f>SUMIF('База данных'!$A$2:$A$624,A168,'База данных'!$E$2:$E$624)</f>
        <v>8</v>
      </c>
      <c r="E168" s="46">
        <f t="shared" si="4"/>
        <v>8</v>
      </c>
      <c r="F168" s="46">
        <f t="shared" si="5"/>
        <v>201</v>
      </c>
    </row>
    <row r="169" spans="1:6" x14ac:dyDescent="0.35">
      <c r="A169" s="45">
        <v>77010000176</v>
      </c>
      <c r="B169" s="46">
        <f>INDEX('База данных'!$B$2:$B$624,MATCH(A169,'База данных'!$A$2:$A$624,0))</f>
        <v>5</v>
      </c>
      <c r="C169" s="47">
        <f>SUMIF('База данных'!$A$2:$A$624,A169,'База данных'!$D$2:$D$624)</f>
        <v>15.77</v>
      </c>
      <c r="D169" s="46">
        <f>SUMIF('База данных'!$A$2:$A$624,A169,'База данных'!$E$2:$E$624)</f>
        <v>37</v>
      </c>
      <c r="E169" s="46">
        <f t="shared" si="4"/>
        <v>37</v>
      </c>
      <c r="F169" s="46">
        <f t="shared" si="5"/>
        <v>82</v>
      </c>
    </row>
    <row r="170" spans="1:6" x14ac:dyDescent="0.35">
      <c r="A170" s="45">
        <v>77010000177</v>
      </c>
      <c r="B170" s="46">
        <f>INDEX('База данных'!$B$2:$B$624,MATCH(A170,'База данных'!$A$2:$A$624,0))</f>
        <v>5</v>
      </c>
      <c r="C170" s="47">
        <f>SUMIF('База данных'!$A$2:$A$624,A170,'База данных'!$D$2:$D$624)</f>
        <v>9.8000000000000007</v>
      </c>
      <c r="D170" s="46">
        <f>SUMIF('База данных'!$A$2:$A$624,A170,'База данных'!$E$2:$E$624)</f>
        <v>23</v>
      </c>
      <c r="E170" s="46">
        <f t="shared" si="4"/>
        <v>23</v>
      </c>
      <c r="F170" s="46">
        <f t="shared" si="5"/>
        <v>162</v>
      </c>
    </row>
    <row r="171" spans="1:6" x14ac:dyDescent="0.35">
      <c r="A171" s="45">
        <v>77010000178</v>
      </c>
      <c r="B171" s="46">
        <f>INDEX('База данных'!$B$2:$B$624,MATCH(A171,'База данных'!$A$2:$A$624,0))</f>
        <v>5</v>
      </c>
      <c r="C171" s="47">
        <f>SUMIF('База данных'!$A$2:$A$624,A171,'База данных'!$D$2:$D$624)</f>
        <v>13.64</v>
      </c>
      <c r="D171" s="46">
        <f>SUMIF('База данных'!$A$2:$A$624,A171,'База данных'!$E$2:$E$624)</f>
        <v>32</v>
      </c>
      <c r="E171" s="46">
        <f t="shared" si="4"/>
        <v>32</v>
      </c>
      <c r="F171" s="46">
        <f t="shared" si="5"/>
        <v>103</v>
      </c>
    </row>
    <row r="172" spans="1:6" x14ac:dyDescent="0.35">
      <c r="A172" s="45">
        <v>77010000179</v>
      </c>
      <c r="B172" s="46">
        <f>INDEX('База данных'!$B$2:$B$624,MATCH(A172,'База данных'!$A$2:$A$624,0))</f>
        <v>5</v>
      </c>
      <c r="C172" s="47">
        <f>SUMIF('База данных'!$A$2:$A$624,A172,'База данных'!$D$2:$D$624)</f>
        <v>19.600000000000001</v>
      </c>
      <c r="D172" s="46">
        <f>SUMIF('База данных'!$A$2:$A$624,A172,'База данных'!$E$2:$E$624)</f>
        <v>46</v>
      </c>
      <c r="E172" s="46">
        <f t="shared" si="4"/>
        <v>46</v>
      </c>
      <c r="F172" s="46">
        <f t="shared" si="5"/>
        <v>58</v>
      </c>
    </row>
    <row r="173" spans="1:6" x14ac:dyDescent="0.35">
      <c r="A173" s="45">
        <v>77010000180</v>
      </c>
      <c r="B173" s="46">
        <f>INDEX('База данных'!$B$2:$B$624,MATCH(A173,'База данных'!$A$2:$A$624,0))</f>
        <v>5</v>
      </c>
      <c r="C173" s="47">
        <f>SUMIF('База данных'!$A$2:$A$624,A173,'База данных'!$D$2:$D$624)</f>
        <v>12.78</v>
      </c>
      <c r="D173" s="46">
        <f>SUMIF('База данных'!$A$2:$A$624,A173,'База данных'!$E$2:$E$624)</f>
        <v>30</v>
      </c>
      <c r="E173" s="46">
        <f t="shared" si="4"/>
        <v>30</v>
      </c>
      <c r="F173" s="46">
        <f t="shared" si="5"/>
        <v>117</v>
      </c>
    </row>
    <row r="174" spans="1:6" x14ac:dyDescent="0.35">
      <c r="A174" s="45">
        <v>77010000181</v>
      </c>
      <c r="B174" s="46">
        <f>INDEX('База данных'!$B$2:$B$624,MATCH(A174,'База данных'!$A$2:$A$624,0))</f>
        <v>5</v>
      </c>
      <c r="C174" s="47">
        <f>SUMIF('База данных'!$A$2:$A$624,A174,'База данных'!$D$2:$D$624)</f>
        <v>13.64</v>
      </c>
      <c r="D174" s="46">
        <f>SUMIF('База данных'!$A$2:$A$624,A174,'База данных'!$E$2:$E$624)</f>
        <v>32</v>
      </c>
      <c r="E174" s="46">
        <f t="shared" si="4"/>
        <v>32</v>
      </c>
      <c r="F174" s="46">
        <f t="shared" si="5"/>
        <v>103</v>
      </c>
    </row>
    <row r="175" spans="1:6" x14ac:dyDescent="0.35">
      <c r="A175" s="45">
        <v>77010000182</v>
      </c>
      <c r="B175" s="46">
        <f>INDEX('База данных'!$B$2:$B$624,MATCH(A175,'База данных'!$A$2:$A$624,0))</f>
        <v>5</v>
      </c>
      <c r="C175" s="47">
        <f>SUMIF('База данных'!$A$2:$A$624,A175,'База данных'!$D$2:$D$624)</f>
        <v>8.1000000000000014</v>
      </c>
      <c r="D175" s="46">
        <f>SUMIF('База данных'!$A$2:$A$624,A175,'База данных'!$E$2:$E$624)</f>
        <v>19</v>
      </c>
      <c r="E175" s="46">
        <f t="shared" si="4"/>
        <v>19</v>
      </c>
      <c r="F175" s="46">
        <f t="shared" si="5"/>
        <v>197</v>
      </c>
    </row>
    <row r="176" spans="1:6" x14ac:dyDescent="0.35">
      <c r="A176" s="45">
        <v>77010000183</v>
      </c>
      <c r="B176" s="46">
        <f>INDEX('База данных'!$B$2:$B$624,MATCH(A176,'База данных'!$A$2:$A$624,0))</f>
        <v>5</v>
      </c>
      <c r="C176" s="47">
        <f>SUMIF('База данных'!$A$2:$A$624,A176,'База данных'!$D$2:$D$624)</f>
        <v>13.219999999999999</v>
      </c>
      <c r="D176" s="46">
        <f>SUMIF('База данных'!$A$2:$A$624,A176,'База данных'!$E$2:$E$624)</f>
        <v>31</v>
      </c>
      <c r="E176" s="46">
        <f t="shared" si="4"/>
        <v>31</v>
      </c>
      <c r="F176" s="46">
        <f t="shared" si="5"/>
        <v>109</v>
      </c>
    </row>
    <row r="177" spans="1:6" x14ac:dyDescent="0.35">
      <c r="A177" s="45">
        <v>77010000184</v>
      </c>
      <c r="B177" s="46">
        <f>INDEX('База данных'!$B$2:$B$624,MATCH(A177,'База данных'!$A$2:$A$624,0))</f>
        <v>5</v>
      </c>
      <c r="C177" s="47">
        <f>SUMIF('База данных'!$A$2:$A$624,A177,'База данных'!$D$2:$D$624)</f>
        <v>11.08</v>
      </c>
      <c r="D177" s="46">
        <f>SUMIF('База данных'!$A$2:$A$624,A177,'База данных'!$E$2:$E$624)</f>
        <v>26</v>
      </c>
      <c r="E177" s="46">
        <f t="shared" si="4"/>
        <v>26</v>
      </c>
      <c r="F177" s="46">
        <f t="shared" si="5"/>
        <v>147</v>
      </c>
    </row>
    <row r="178" spans="1:6" x14ac:dyDescent="0.35">
      <c r="A178" s="45">
        <v>77010000185</v>
      </c>
      <c r="B178" s="46">
        <f>INDEX('База данных'!$B$2:$B$624,MATCH(A178,'База данных'!$A$2:$A$624,0))</f>
        <v>5</v>
      </c>
      <c r="C178" s="47">
        <f>SUMIF('База данных'!$A$2:$A$624,A178,'База данных'!$D$2:$D$624)</f>
        <v>9.379999999999999</v>
      </c>
      <c r="D178" s="46">
        <f>SUMIF('База данных'!$A$2:$A$624,A178,'База данных'!$E$2:$E$624)</f>
        <v>22</v>
      </c>
      <c r="E178" s="46">
        <f t="shared" si="4"/>
        <v>22</v>
      </c>
      <c r="F178" s="46">
        <f t="shared" si="5"/>
        <v>166</v>
      </c>
    </row>
    <row r="179" spans="1:6" x14ac:dyDescent="0.35">
      <c r="A179" s="45">
        <v>77010000186</v>
      </c>
      <c r="B179" s="46">
        <f>INDEX('База данных'!$B$2:$B$624,MATCH(A179,'База данных'!$A$2:$A$624,0))</f>
        <v>5</v>
      </c>
      <c r="C179" s="47">
        <f>SUMIF('База данных'!$A$2:$A$624,A179,'База данных'!$D$2:$D$624)</f>
        <v>14.06</v>
      </c>
      <c r="D179" s="46">
        <f>SUMIF('База данных'!$A$2:$A$624,A179,'База данных'!$E$2:$E$624)</f>
        <v>33</v>
      </c>
      <c r="E179" s="46">
        <f t="shared" si="4"/>
        <v>33</v>
      </c>
      <c r="F179" s="46">
        <f t="shared" si="5"/>
        <v>101</v>
      </c>
    </row>
    <row r="180" spans="1:6" x14ac:dyDescent="0.35">
      <c r="A180" s="45">
        <v>77010000187</v>
      </c>
      <c r="B180" s="46">
        <f>INDEX('База данных'!$B$2:$B$624,MATCH(A180,'База данных'!$A$2:$A$624,0))</f>
        <v>5</v>
      </c>
      <c r="C180" s="47">
        <f>SUMIF('База данных'!$A$2:$A$624,A180,'База данных'!$D$2:$D$624)</f>
        <v>5.54</v>
      </c>
      <c r="D180" s="46">
        <f>SUMIF('База данных'!$A$2:$A$624,A180,'База данных'!$E$2:$E$624)</f>
        <v>13</v>
      </c>
      <c r="E180" s="46">
        <f t="shared" si="4"/>
        <v>13</v>
      </c>
      <c r="F180" s="46">
        <f t="shared" si="5"/>
        <v>227</v>
      </c>
    </row>
    <row r="181" spans="1:6" x14ac:dyDescent="0.35">
      <c r="A181" s="45">
        <v>77010000188</v>
      </c>
      <c r="B181" s="46">
        <f>INDEX('База данных'!$B$2:$B$624,MATCH(A181,'База данных'!$A$2:$A$624,0))</f>
        <v>5</v>
      </c>
      <c r="C181" s="47">
        <f>SUMIF('База данных'!$A$2:$A$624,A181,'База данных'!$D$2:$D$624)</f>
        <v>18.32</v>
      </c>
      <c r="D181" s="46">
        <f>SUMIF('База данных'!$A$2:$A$624,A181,'База данных'!$E$2:$E$624)</f>
        <v>43</v>
      </c>
      <c r="E181" s="46">
        <f t="shared" si="4"/>
        <v>43</v>
      </c>
      <c r="F181" s="46">
        <f t="shared" si="5"/>
        <v>65</v>
      </c>
    </row>
    <row r="182" spans="1:6" x14ac:dyDescent="0.35">
      <c r="A182" s="45">
        <v>77010000189</v>
      </c>
      <c r="B182" s="46">
        <f>INDEX('База данных'!$B$2:$B$624,MATCH(A182,'База данных'!$A$2:$A$624,0))</f>
        <v>5</v>
      </c>
      <c r="C182" s="47">
        <f>SUMIF('База данных'!$A$2:$A$624,A182,'База данных'!$D$2:$D$624)</f>
        <v>7.67</v>
      </c>
      <c r="D182" s="46">
        <f>SUMIF('База данных'!$A$2:$A$624,A182,'База данных'!$E$2:$E$624)</f>
        <v>18</v>
      </c>
      <c r="E182" s="46">
        <f t="shared" si="4"/>
        <v>18</v>
      </c>
      <c r="F182" s="46">
        <f t="shared" si="5"/>
        <v>202</v>
      </c>
    </row>
    <row r="183" spans="1:6" x14ac:dyDescent="0.35">
      <c r="A183" s="45">
        <v>77010000190</v>
      </c>
      <c r="B183" s="46">
        <f>INDEX('База данных'!$B$2:$B$624,MATCH(A183,'База данных'!$A$2:$A$624,0))</f>
        <v>5</v>
      </c>
      <c r="C183" s="47">
        <f>SUMIF('База данных'!$A$2:$A$624,A183,'База данных'!$D$2:$D$624)</f>
        <v>8.1</v>
      </c>
      <c r="D183" s="46">
        <f>SUMIF('База данных'!$A$2:$A$624,A183,'База данных'!$E$2:$E$624)</f>
        <v>19</v>
      </c>
      <c r="E183" s="46">
        <f t="shared" si="4"/>
        <v>19</v>
      </c>
      <c r="F183" s="46">
        <f t="shared" si="5"/>
        <v>198</v>
      </c>
    </row>
    <row r="184" spans="1:6" x14ac:dyDescent="0.35">
      <c r="A184" s="45">
        <v>77010000191</v>
      </c>
      <c r="B184" s="46">
        <f>INDEX('База данных'!$B$2:$B$624,MATCH(A184,'База данных'!$A$2:$A$624,0))</f>
        <v>5</v>
      </c>
      <c r="C184" s="47">
        <f>SUMIF('База данных'!$A$2:$A$624,A184,'База данных'!$D$2:$D$624)</f>
        <v>18.079999999999998</v>
      </c>
      <c r="D184" s="46">
        <f>SUMIF('База данных'!$A$2:$A$624,A184,'База данных'!$E$2:$E$624)</f>
        <v>29</v>
      </c>
      <c r="E184" s="46">
        <f t="shared" si="4"/>
        <v>29</v>
      </c>
      <c r="F184" s="46">
        <f t="shared" si="5"/>
        <v>66</v>
      </c>
    </row>
    <row r="185" spans="1:6" x14ac:dyDescent="0.35">
      <c r="A185" s="45">
        <v>77010000192</v>
      </c>
      <c r="B185" s="46">
        <f>INDEX('База данных'!$B$2:$B$624,MATCH(A185,'База данных'!$A$2:$A$624,0))</f>
        <v>5</v>
      </c>
      <c r="C185" s="47">
        <f>SUMIF('База данных'!$A$2:$A$624,A185,'База данных'!$D$2:$D$624)</f>
        <v>5.54</v>
      </c>
      <c r="D185" s="46">
        <f>SUMIF('База данных'!$A$2:$A$624,A185,'База данных'!$E$2:$E$624)</f>
        <v>13</v>
      </c>
      <c r="E185" s="46">
        <f t="shared" si="4"/>
        <v>13</v>
      </c>
      <c r="F185" s="46">
        <f t="shared" si="5"/>
        <v>227</v>
      </c>
    </row>
    <row r="186" spans="1:6" x14ac:dyDescent="0.35">
      <c r="A186" s="45">
        <v>77010000193</v>
      </c>
      <c r="B186" s="46">
        <f>INDEX('База данных'!$B$2:$B$624,MATCH(A186,'База данных'!$A$2:$A$624,0))</f>
        <v>5</v>
      </c>
      <c r="C186" s="47">
        <f>SUMIF('База данных'!$A$2:$A$624,A186,'База данных'!$D$2:$D$624)</f>
        <v>9.9899999999999984</v>
      </c>
      <c r="D186" s="46">
        <f>SUMIF('База данных'!$A$2:$A$624,A186,'База данных'!$E$2:$E$624)</f>
        <v>7</v>
      </c>
      <c r="E186" s="46">
        <f t="shared" si="4"/>
        <v>7</v>
      </c>
      <c r="F186" s="46">
        <f t="shared" si="5"/>
        <v>160</v>
      </c>
    </row>
    <row r="187" spans="1:6" x14ac:dyDescent="0.35">
      <c r="A187" s="45">
        <v>77010000194</v>
      </c>
      <c r="B187" s="46">
        <f>INDEX('База данных'!$B$2:$B$624,MATCH(A187,'База данных'!$A$2:$A$624,0))</f>
        <v>5</v>
      </c>
      <c r="C187" s="47">
        <f>SUMIF('База данных'!$A$2:$A$624,A187,'База данных'!$D$2:$D$624)</f>
        <v>19.170000000000002</v>
      </c>
      <c r="D187" s="46">
        <f>SUMIF('База данных'!$A$2:$A$624,A187,'База данных'!$E$2:$E$624)</f>
        <v>45</v>
      </c>
      <c r="E187" s="46">
        <f t="shared" si="4"/>
        <v>45</v>
      </c>
      <c r="F187" s="46">
        <f t="shared" si="5"/>
        <v>61</v>
      </c>
    </row>
    <row r="188" spans="1:6" x14ac:dyDescent="0.35">
      <c r="A188" s="45">
        <v>77010000195</v>
      </c>
      <c r="B188" s="46">
        <f>INDEX('База данных'!$B$2:$B$624,MATCH(A188,'База данных'!$A$2:$A$624,0))</f>
        <v>5</v>
      </c>
      <c r="C188" s="47">
        <f>SUMIF('База данных'!$A$2:$A$624,A188,'База данных'!$D$2:$D$624)</f>
        <v>9.8000000000000007</v>
      </c>
      <c r="D188" s="46">
        <f>SUMIF('База данных'!$A$2:$A$624,A188,'База данных'!$E$2:$E$624)</f>
        <v>23</v>
      </c>
      <c r="E188" s="46">
        <f t="shared" si="4"/>
        <v>23</v>
      </c>
      <c r="F188" s="46">
        <f t="shared" si="5"/>
        <v>162</v>
      </c>
    </row>
    <row r="189" spans="1:6" x14ac:dyDescent="0.35">
      <c r="A189" s="45">
        <v>77010000196</v>
      </c>
      <c r="B189" s="46">
        <f>INDEX('База данных'!$B$2:$B$624,MATCH(A189,'База данных'!$A$2:$A$624,0))</f>
        <v>5</v>
      </c>
      <c r="C189" s="47">
        <f>SUMIF('База данных'!$A$2:$A$624,A189,'База данных'!$D$2:$D$624)</f>
        <v>10.649999999999999</v>
      </c>
      <c r="D189" s="46">
        <f>SUMIF('База данных'!$A$2:$A$624,A189,'База данных'!$E$2:$E$624)</f>
        <v>25</v>
      </c>
      <c r="E189" s="46">
        <f t="shared" si="4"/>
        <v>25</v>
      </c>
      <c r="F189" s="46">
        <f t="shared" si="5"/>
        <v>154</v>
      </c>
    </row>
    <row r="190" spans="1:6" x14ac:dyDescent="0.35">
      <c r="A190" s="45">
        <v>77010000197</v>
      </c>
      <c r="B190" s="46">
        <f>INDEX('База данных'!$B$2:$B$624,MATCH(A190,'База данных'!$A$2:$A$624,0))</f>
        <v>5</v>
      </c>
      <c r="C190" s="47">
        <f>SUMIF('База данных'!$A$2:$A$624,A190,'База данных'!$D$2:$D$624)</f>
        <v>4.6900000000000004</v>
      </c>
      <c r="D190" s="46">
        <f>SUMIF('База данных'!$A$2:$A$624,A190,'База данных'!$E$2:$E$624)</f>
        <v>11</v>
      </c>
      <c r="E190" s="46">
        <f t="shared" si="4"/>
        <v>11</v>
      </c>
      <c r="F190" s="46">
        <f t="shared" si="5"/>
        <v>234</v>
      </c>
    </row>
    <row r="191" spans="1:6" x14ac:dyDescent="0.35">
      <c r="A191" s="45">
        <v>77010000198</v>
      </c>
      <c r="B191" s="46">
        <f>INDEX('База данных'!$B$2:$B$624,MATCH(A191,'База данных'!$A$2:$A$624,0))</f>
        <v>5</v>
      </c>
      <c r="C191" s="47">
        <f>SUMIF('База данных'!$A$2:$A$624,A191,'База данных'!$D$2:$D$624)</f>
        <v>0.43</v>
      </c>
      <c r="D191" s="46">
        <f>SUMIF('База данных'!$A$2:$A$624,A191,'База данных'!$E$2:$E$624)</f>
        <v>1</v>
      </c>
      <c r="E191" s="46">
        <f t="shared" si="4"/>
        <v>1</v>
      </c>
      <c r="F191" s="46">
        <f t="shared" si="5"/>
        <v>285</v>
      </c>
    </row>
    <row r="192" spans="1:6" x14ac:dyDescent="0.35">
      <c r="A192" s="45">
        <v>77010000199</v>
      </c>
      <c r="B192" s="46">
        <f>INDEX('База данных'!$B$2:$B$624,MATCH(A192,'База данных'!$A$2:$A$624,0))</f>
        <v>5</v>
      </c>
      <c r="C192" s="47">
        <f>SUMIF('База данных'!$A$2:$A$624,A192,'База данных'!$D$2:$D$624)</f>
        <v>1.28</v>
      </c>
      <c r="D192" s="46">
        <f>SUMIF('База данных'!$A$2:$A$624,A192,'База данных'!$E$2:$E$624)</f>
        <v>3</v>
      </c>
      <c r="E192" s="46">
        <f t="shared" si="4"/>
        <v>3</v>
      </c>
      <c r="F192" s="46">
        <f t="shared" si="5"/>
        <v>274</v>
      </c>
    </row>
    <row r="193" spans="1:6" x14ac:dyDescent="0.35">
      <c r="A193" s="45">
        <v>77010000200</v>
      </c>
      <c r="B193" s="46">
        <f>INDEX('База данных'!$B$2:$B$624,MATCH(A193,'База данных'!$A$2:$A$624,0))</f>
        <v>5</v>
      </c>
      <c r="C193" s="47">
        <f>SUMIF('База данных'!$A$2:$A$624,A193,'База данных'!$D$2:$D$624)</f>
        <v>2.13</v>
      </c>
      <c r="D193" s="46">
        <f>SUMIF('База данных'!$A$2:$A$624,A193,'База данных'!$E$2:$E$624)</f>
        <v>5</v>
      </c>
      <c r="E193" s="46">
        <f t="shared" si="4"/>
        <v>5</v>
      </c>
      <c r="F193" s="46">
        <f t="shared" si="5"/>
        <v>271</v>
      </c>
    </row>
    <row r="194" spans="1:6" x14ac:dyDescent="0.35">
      <c r="A194" s="45">
        <v>77010000201</v>
      </c>
      <c r="B194" s="46">
        <f>INDEX('База данных'!$B$2:$B$624,MATCH(A194,'База данных'!$A$2:$A$624,0))</f>
        <v>5</v>
      </c>
      <c r="C194" s="47">
        <f>SUMIF('База данных'!$A$2:$A$624,A194,'База данных'!$D$2:$D$624)</f>
        <v>5.54</v>
      </c>
      <c r="D194" s="46">
        <f>SUMIF('База данных'!$A$2:$A$624,A194,'База данных'!$E$2:$E$624)</f>
        <v>13</v>
      </c>
      <c r="E194" s="46">
        <f t="shared" ref="E194:E257" si="6">IF(B194=5,D194,"")</f>
        <v>13</v>
      </c>
      <c r="F194" s="46">
        <f t="shared" ref="F194:F257" si="7">RANK(C194,$C$2:$C$293)</f>
        <v>227</v>
      </c>
    </row>
    <row r="195" spans="1:6" x14ac:dyDescent="0.35">
      <c r="A195" s="45">
        <v>77010000202</v>
      </c>
      <c r="B195" s="46">
        <f>INDEX('База данных'!$B$2:$B$624,MATCH(A195,'База данных'!$A$2:$A$624,0))</f>
        <v>5</v>
      </c>
      <c r="C195" s="47">
        <f>SUMIF('База данных'!$A$2:$A$624,A195,'База данных'!$D$2:$D$624)</f>
        <v>10.649999999999999</v>
      </c>
      <c r="D195" s="46">
        <f>SUMIF('База данных'!$A$2:$A$624,A195,'База данных'!$E$2:$E$624)</f>
        <v>25</v>
      </c>
      <c r="E195" s="46">
        <f t="shared" si="6"/>
        <v>25</v>
      </c>
      <c r="F195" s="46">
        <f t="shared" si="7"/>
        <v>154</v>
      </c>
    </row>
    <row r="196" spans="1:6" x14ac:dyDescent="0.35">
      <c r="A196" s="45">
        <v>77010000203</v>
      </c>
      <c r="B196" s="46">
        <f>INDEX('База данных'!$B$2:$B$624,MATCH(A196,'База данных'!$A$2:$A$624,0))</f>
        <v>5</v>
      </c>
      <c r="C196" s="47">
        <f>SUMIF('База данных'!$A$2:$A$624,A196,'База данных'!$D$2:$D$624)</f>
        <v>11.94</v>
      </c>
      <c r="D196" s="46">
        <f>SUMIF('База данных'!$A$2:$A$624,A196,'База данных'!$E$2:$E$624)</f>
        <v>28</v>
      </c>
      <c r="E196" s="46">
        <f t="shared" si="6"/>
        <v>28</v>
      </c>
      <c r="F196" s="46">
        <f t="shared" si="7"/>
        <v>139</v>
      </c>
    </row>
    <row r="197" spans="1:6" x14ac:dyDescent="0.35">
      <c r="A197" s="45">
        <v>77010000204</v>
      </c>
      <c r="B197" s="46">
        <f>INDEX('База данных'!$B$2:$B$624,MATCH(A197,'База данных'!$A$2:$A$624,0))</f>
        <v>5</v>
      </c>
      <c r="C197" s="47">
        <f>SUMIF('База данных'!$A$2:$A$624,A197,'База данных'!$D$2:$D$624)</f>
        <v>12.78</v>
      </c>
      <c r="D197" s="46">
        <f>SUMIF('База данных'!$A$2:$A$624,A197,'База данных'!$E$2:$E$624)</f>
        <v>36</v>
      </c>
      <c r="E197" s="46">
        <f t="shared" si="6"/>
        <v>36</v>
      </c>
      <c r="F197" s="46">
        <f t="shared" si="7"/>
        <v>117</v>
      </c>
    </row>
    <row r="198" spans="1:6" x14ac:dyDescent="0.35">
      <c r="A198" s="45">
        <v>77010000205</v>
      </c>
      <c r="B198" s="46">
        <f>INDEX('База данных'!$B$2:$B$624,MATCH(A198,'База данных'!$A$2:$A$624,0))</f>
        <v>5</v>
      </c>
      <c r="C198" s="47">
        <f>SUMIF('База данных'!$A$2:$A$624,A198,'База данных'!$D$2:$D$624)</f>
        <v>14.5</v>
      </c>
      <c r="D198" s="46">
        <f>SUMIF('База данных'!$A$2:$A$624,A198,'База данных'!$E$2:$E$624)</f>
        <v>34</v>
      </c>
      <c r="E198" s="46">
        <f t="shared" si="6"/>
        <v>34</v>
      </c>
      <c r="F198" s="46">
        <f t="shared" si="7"/>
        <v>95</v>
      </c>
    </row>
    <row r="199" spans="1:6" x14ac:dyDescent="0.35">
      <c r="A199" s="45">
        <v>77010000206</v>
      </c>
      <c r="B199" s="46">
        <f>INDEX('База данных'!$B$2:$B$624,MATCH(A199,'База данных'!$A$2:$A$624,0))</f>
        <v>5</v>
      </c>
      <c r="C199" s="47">
        <f>SUMIF('База данных'!$A$2:$A$624,A199,'База данных'!$D$2:$D$624)</f>
        <v>12.36</v>
      </c>
      <c r="D199" s="46">
        <f>SUMIF('База данных'!$A$2:$A$624,A199,'База данных'!$E$2:$E$624)</f>
        <v>29</v>
      </c>
      <c r="E199" s="46">
        <f t="shared" si="6"/>
        <v>29</v>
      </c>
      <c r="F199" s="46">
        <f t="shared" si="7"/>
        <v>135</v>
      </c>
    </row>
    <row r="200" spans="1:6" x14ac:dyDescent="0.35">
      <c r="A200" s="45">
        <v>77010000207</v>
      </c>
      <c r="B200" s="46">
        <f>INDEX('База данных'!$B$2:$B$624,MATCH(A200,'База данных'!$A$2:$A$624,0))</f>
        <v>5</v>
      </c>
      <c r="C200" s="47">
        <f>SUMIF('База данных'!$A$2:$A$624,A200,'База данных'!$D$2:$D$624)</f>
        <v>15.77</v>
      </c>
      <c r="D200" s="46">
        <f>SUMIF('База данных'!$A$2:$A$624,A200,'База данных'!$E$2:$E$624)</f>
        <v>37</v>
      </c>
      <c r="E200" s="46">
        <f t="shared" si="6"/>
        <v>37</v>
      </c>
      <c r="F200" s="46">
        <f t="shared" si="7"/>
        <v>82</v>
      </c>
    </row>
    <row r="201" spans="1:6" x14ac:dyDescent="0.35">
      <c r="A201" s="45">
        <v>77010000208</v>
      </c>
      <c r="B201" s="46">
        <f>INDEX('База данных'!$B$2:$B$624,MATCH(A201,'База данных'!$A$2:$A$624,0))</f>
        <v>5</v>
      </c>
      <c r="C201" s="47">
        <f>SUMIF('База данных'!$A$2:$A$624,A201,'База данных'!$D$2:$D$624)</f>
        <v>20.41</v>
      </c>
      <c r="D201" s="46">
        <f>SUMIF('База данных'!$A$2:$A$624,A201,'База данных'!$E$2:$E$624)</f>
        <v>33</v>
      </c>
      <c r="E201" s="46">
        <f t="shared" si="6"/>
        <v>33</v>
      </c>
      <c r="F201" s="46">
        <f t="shared" si="7"/>
        <v>54</v>
      </c>
    </row>
    <row r="202" spans="1:6" x14ac:dyDescent="0.35">
      <c r="A202" s="45">
        <v>77010000209</v>
      </c>
      <c r="B202" s="46">
        <f>INDEX('База данных'!$B$2:$B$624,MATCH(A202,'База данных'!$A$2:$A$624,0))</f>
        <v>5</v>
      </c>
      <c r="C202" s="47">
        <f>SUMIF('База данных'!$A$2:$A$624,A202,'База данных'!$D$2:$D$624)</f>
        <v>5.97</v>
      </c>
      <c r="D202" s="46">
        <f>SUMIF('База данных'!$A$2:$A$624,A202,'База данных'!$E$2:$E$624)</f>
        <v>14</v>
      </c>
      <c r="E202" s="46">
        <f t="shared" si="6"/>
        <v>14</v>
      </c>
      <c r="F202" s="46">
        <f t="shared" si="7"/>
        <v>223</v>
      </c>
    </row>
    <row r="203" spans="1:6" x14ac:dyDescent="0.35">
      <c r="A203" s="45">
        <v>77010000210</v>
      </c>
      <c r="B203" s="46">
        <f>INDEX('База данных'!$B$2:$B$624,MATCH(A203,'База данных'!$A$2:$A$624,0))</f>
        <v>5</v>
      </c>
      <c r="C203" s="47">
        <f>SUMIF('База данных'!$A$2:$A$624,A203,'База данных'!$D$2:$D$624)</f>
        <v>12.969999999999999</v>
      </c>
      <c r="D203" s="46">
        <f>SUMIF('База данных'!$A$2:$A$624,A203,'База данных'!$E$2:$E$624)</f>
        <v>22</v>
      </c>
      <c r="E203" s="46">
        <f t="shared" si="6"/>
        <v>22</v>
      </c>
      <c r="F203" s="46">
        <f t="shared" si="7"/>
        <v>113</v>
      </c>
    </row>
    <row r="204" spans="1:6" x14ac:dyDescent="0.35">
      <c r="A204" s="45">
        <v>77010000211</v>
      </c>
      <c r="B204" s="46">
        <f>INDEX('База данных'!$B$2:$B$624,MATCH(A204,'База данных'!$A$2:$A$624,0))</f>
        <v>5</v>
      </c>
      <c r="C204" s="47">
        <f>SUMIF('База данных'!$A$2:$A$624,A204,'База данных'!$D$2:$D$624)</f>
        <v>22.590000000000003</v>
      </c>
      <c r="D204" s="46">
        <f>SUMIF('База данных'!$A$2:$A$624,A204,'База данных'!$E$2:$E$624)</f>
        <v>53</v>
      </c>
      <c r="E204" s="46">
        <f t="shared" si="6"/>
        <v>53</v>
      </c>
      <c r="F204" s="46">
        <f t="shared" si="7"/>
        <v>43</v>
      </c>
    </row>
    <row r="205" spans="1:6" x14ac:dyDescent="0.35">
      <c r="A205" s="45">
        <v>77010000212</v>
      </c>
      <c r="B205" s="46">
        <f>INDEX('База данных'!$B$2:$B$624,MATCH(A205,'База данных'!$A$2:$A$624,0))</f>
        <v>5</v>
      </c>
      <c r="C205" s="47">
        <f>SUMIF('База данных'!$A$2:$A$624,A205,'База данных'!$D$2:$D$624)</f>
        <v>6.82</v>
      </c>
      <c r="D205" s="46">
        <f>SUMIF('База данных'!$A$2:$A$624,A205,'База данных'!$E$2:$E$624)</f>
        <v>16</v>
      </c>
      <c r="E205" s="46">
        <f t="shared" si="6"/>
        <v>16</v>
      </c>
      <c r="F205" s="46">
        <f t="shared" si="7"/>
        <v>209</v>
      </c>
    </row>
    <row r="206" spans="1:6" x14ac:dyDescent="0.35">
      <c r="A206" s="45">
        <v>77010000213</v>
      </c>
      <c r="B206" s="46">
        <f>INDEX('База данных'!$B$2:$B$624,MATCH(A206,'База данных'!$A$2:$A$624,0))</f>
        <v>5</v>
      </c>
      <c r="C206" s="47">
        <f>SUMIF('База данных'!$A$2:$A$624,A206,'База данных'!$D$2:$D$624)</f>
        <v>20.41</v>
      </c>
      <c r="D206" s="46">
        <f>SUMIF('База данных'!$A$2:$A$624,A206,'База данных'!$E$2:$E$624)</f>
        <v>31</v>
      </c>
      <c r="E206" s="46">
        <f t="shared" si="6"/>
        <v>31</v>
      </c>
      <c r="F206" s="46">
        <f t="shared" si="7"/>
        <v>54</v>
      </c>
    </row>
    <row r="207" spans="1:6" x14ac:dyDescent="0.35">
      <c r="A207" s="45">
        <v>77010000214</v>
      </c>
      <c r="B207" s="46">
        <f>INDEX('База данных'!$B$2:$B$624,MATCH(A207,'База данных'!$A$2:$A$624,0))</f>
        <v>5</v>
      </c>
      <c r="C207" s="47">
        <f>SUMIF('База данных'!$A$2:$A$624,A207,'База данных'!$D$2:$D$624)</f>
        <v>11.93</v>
      </c>
      <c r="D207" s="46">
        <f>SUMIF('База данных'!$A$2:$A$624,A207,'База данных'!$E$2:$E$624)</f>
        <v>28</v>
      </c>
      <c r="E207" s="46">
        <f t="shared" si="6"/>
        <v>28</v>
      </c>
      <c r="F207" s="46">
        <f t="shared" si="7"/>
        <v>140</v>
      </c>
    </row>
    <row r="208" spans="1:6" x14ac:dyDescent="0.35">
      <c r="A208" s="45">
        <v>77010000215</v>
      </c>
      <c r="B208" s="46">
        <f>INDEX('База данных'!$B$2:$B$624,MATCH(A208,'База данных'!$A$2:$A$624,0))</f>
        <v>5</v>
      </c>
      <c r="C208" s="47">
        <f>SUMIF('База данных'!$A$2:$A$624,A208,'База данных'!$D$2:$D$624)</f>
        <v>14.06</v>
      </c>
      <c r="D208" s="46">
        <f>SUMIF('База данных'!$A$2:$A$624,A208,'База данных'!$E$2:$E$624)</f>
        <v>33</v>
      </c>
      <c r="E208" s="46">
        <f t="shared" si="6"/>
        <v>33</v>
      </c>
      <c r="F208" s="46">
        <f t="shared" si="7"/>
        <v>101</v>
      </c>
    </row>
    <row r="209" spans="1:6" x14ac:dyDescent="0.35">
      <c r="A209" s="45">
        <v>77010000216</v>
      </c>
      <c r="B209" s="46">
        <f>INDEX('База данных'!$B$2:$B$624,MATCH(A209,'База данных'!$A$2:$A$624,0))</f>
        <v>5</v>
      </c>
      <c r="C209" s="47">
        <f>SUMIF('База данных'!$A$2:$A$624,A209,'База данных'!$D$2:$D$624)</f>
        <v>0.43</v>
      </c>
      <c r="D209" s="46">
        <f>SUMIF('База данных'!$A$2:$A$624,A209,'База данных'!$E$2:$E$624)</f>
        <v>1</v>
      </c>
      <c r="E209" s="46">
        <f t="shared" si="6"/>
        <v>1</v>
      </c>
      <c r="F209" s="46">
        <f t="shared" si="7"/>
        <v>285</v>
      </c>
    </row>
    <row r="210" spans="1:6" x14ac:dyDescent="0.35">
      <c r="A210" s="45">
        <v>77010000217</v>
      </c>
      <c r="B210" s="46">
        <f>INDEX('База данных'!$B$2:$B$624,MATCH(A210,'База данных'!$A$2:$A$624,0))</f>
        <v>5</v>
      </c>
      <c r="C210" s="47">
        <f>SUMIF('База данных'!$A$2:$A$624,A210,'База данных'!$D$2:$D$624)</f>
        <v>7.67</v>
      </c>
      <c r="D210" s="46">
        <f>SUMIF('База данных'!$A$2:$A$624,A210,'База данных'!$E$2:$E$624)</f>
        <v>18</v>
      </c>
      <c r="E210" s="46">
        <f t="shared" si="6"/>
        <v>18</v>
      </c>
      <c r="F210" s="46">
        <f t="shared" si="7"/>
        <v>202</v>
      </c>
    </row>
    <row r="211" spans="1:6" x14ac:dyDescent="0.35">
      <c r="A211" s="45">
        <v>77010000218</v>
      </c>
      <c r="B211" s="46">
        <f>INDEX('База данных'!$B$2:$B$624,MATCH(A211,'База данных'!$A$2:$A$624,0))</f>
        <v>5</v>
      </c>
      <c r="C211" s="47">
        <f>SUMIF('База данных'!$A$2:$A$624,A211,'База данных'!$D$2:$D$624)</f>
        <v>3.41</v>
      </c>
      <c r="D211" s="46">
        <f>SUMIF('База данных'!$A$2:$A$624,A211,'База данных'!$E$2:$E$624)</f>
        <v>8</v>
      </c>
      <c r="E211" s="46">
        <f t="shared" si="6"/>
        <v>8</v>
      </c>
      <c r="F211" s="46">
        <f t="shared" si="7"/>
        <v>260</v>
      </c>
    </row>
    <row r="212" spans="1:6" x14ac:dyDescent="0.35">
      <c r="A212" s="45">
        <v>77010000219</v>
      </c>
      <c r="B212" s="46">
        <f>INDEX('База данных'!$B$2:$B$624,MATCH(A212,'База данных'!$A$2:$A$624,0))</f>
        <v>5</v>
      </c>
      <c r="C212" s="47">
        <f>SUMIF('База данных'!$A$2:$A$624,A212,'База данных'!$D$2:$D$624)</f>
        <v>2.56</v>
      </c>
      <c r="D212" s="46">
        <f>SUMIF('База данных'!$A$2:$A$624,A212,'База данных'!$E$2:$E$624)</f>
        <v>6</v>
      </c>
      <c r="E212" s="46">
        <f t="shared" si="6"/>
        <v>6</v>
      </c>
      <c r="F212" s="46">
        <f t="shared" si="7"/>
        <v>267</v>
      </c>
    </row>
    <row r="213" spans="1:6" x14ac:dyDescent="0.35">
      <c r="A213" s="45">
        <v>77010000220</v>
      </c>
      <c r="B213" s="46">
        <f>INDEX('База данных'!$B$2:$B$624,MATCH(A213,'База данных'!$A$2:$A$624,0))</f>
        <v>5</v>
      </c>
      <c r="C213" s="47">
        <f>SUMIF('База данных'!$A$2:$A$624,A213,'База данных'!$D$2:$D$624)</f>
        <v>3.41</v>
      </c>
      <c r="D213" s="46">
        <f>SUMIF('База данных'!$A$2:$A$624,A213,'База данных'!$E$2:$E$624)</f>
        <v>8</v>
      </c>
      <c r="E213" s="46">
        <f t="shared" si="6"/>
        <v>8</v>
      </c>
      <c r="F213" s="46">
        <f t="shared" si="7"/>
        <v>260</v>
      </c>
    </row>
    <row r="214" spans="1:6" x14ac:dyDescent="0.35">
      <c r="A214" s="45">
        <v>77010000221</v>
      </c>
      <c r="B214" s="46">
        <f>INDEX('База данных'!$B$2:$B$624,MATCH(A214,'База данных'!$A$2:$A$624,0))</f>
        <v>5</v>
      </c>
      <c r="C214" s="47">
        <f>SUMIF('База данных'!$A$2:$A$624,A214,'База данных'!$D$2:$D$624)</f>
        <v>2.98</v>
      </c>
      <c r="D214" s="46">
        <f>SUMIF('База данных'!$A$2:$A$624,A214,'База данных'!$E$2:$E$624)</f>
        <v>7</v>
      </c>
      <c r="E214" s="46">
        <f t="shared" si="6"/>
        <v>7</v>
      </c>
      <c r="F214" s="46">
        <f t="shared" si="7"/>
        <v>264</v>
      </c>
    </row>
    <row r="215" spans="1:6" x14ac:dyDescent="0.35">
      <c r="A215" s="45">
        <v>77010000222</v>
      </c>
      <c r="B215" s="46">
        <f>INDEX('База данных'!$B$2:$B$624,MATCH(A215,'База данных'!$A$2:$A$624,0))</f>
        <v>5</v>
      </c>
      <c r="C215" s="47">
        <f>SUMIF('База данных'!$A$2:$A$624,A215,'База данных'!$D$2:$D$624)</f>
        <v>11.08</v>
      </c>
      <c r="D215" s="46">
        <f>SUMIF('База данных'!$A$2:$A$624,A215,'База данных'!$E$2:$E$624)</f>
        <v>26</v>
      </c>
      <c r="E215" s="46">
        <f t="shared" si="6"/>
        <v>26</v>
      </c>
      <c r="F215" s="46">
        <f t="shared" si="7"/>
        <v>147</v>
      </c>
    </row>
    <row r="216" spans="1:6" x14ac:dyDescent="0.35">
      <c r="A216" s="45">
        <v>77010000223</v>
      </c>
      <c r="B216" s="46">
        <f>INDEX('База данных'!$B$2:$B$624,MATCH(A216,'База данных'!$A$2:$A$624,0))</f>
        <v>5</v>
      </c>
      <c r="C216" s="47">
        <f>SUMIF('База данных'!$A$2:$A$624,A216,'База данных'!$D$2:$D$624)</f>
        <v>1.28</v>
      </c>
      <c r="D216" s="46">
        <f>SUMIF('База данных'!$A$2:$A$624,A216,'База данных'!$E$2:$E$624)</f>
        <v>3</v>
      </c>
      <c r="E216" s="46">
        <f t="shared" si="6"/>
        <v>3</v>
      </c>
      <c r="F216" s="46">
        <f t="shared" si="7"/>
        <v>274</v>
      </c>
    </row>
    <row r="217" spans="1:6" x14ac:dyDescent="0.35">
      <c r="A217" s="45">
        <v>77010000224</v>
      </c>
      <c r="B217" s="46">
        <f>INDEX('База данных'!$B$2:$B$624,MATCH(A217,'База данных'!$A$2:$A$624,0))</f>
        <v>5</v>
      </c>
      <c r="C217" s="47">
        <f>SUMIF('База данных'!$A$2:$A$624,A217,'База данных'!$D$2:$D$624)</f>
        <v>0.43</v>
      </c>
      <c r="D217" s="46">
        <f>SUMIF('База данных'!$A$2:$A$624,A217,'База данных'!$E$2:$E$624)</f>
        <v>1</v>
      </c>
      <c r="E217" s="46">
        <f t="shared" si="6"/>
        <v>1</v>
      </c>
      <c r="F217" s="46">
        <f t="shared" si="7"/>
        <v>285</v>
      </c>
    </row>
    <row r="218" spans="1:6" x14ac:dyDescent="0.35">
      <c r="A218" s="45">
        <v>77010000225</v>
      </c>
      <c r="B218" s="46">
        <f>INDEX('База данных'!$B$2:$B$624,MATCH(A218,'База данных'!$A$2:$A$624,0))</f>
        <v>5</v>
      </c>
      <c r="C218" s="47">
        <f>SUMIF('База данных'!$A$2:$A$624,A218,'База данных'!$D$2:$D$624)</f>
        <v>11.08</v>
      </c>
      <c r="D218" s="46">
        <f>SUMIF('База данных'!$A$2:$A$624,A218,'База данных'!$E$2:$E$624)</f>
        <v>26</v>
      </c>
      <c r="E218" s="46">
        <f t="shared" si="6"/>
        <v>26</v>
      </c>
      <c r="F218" s="46">
        <f t="shared" si="7"/>
        <v>147</v>
      </c>
    </row>
    <row r="219" spans="1:6" x14ac:dyDescent="0.35">
      <c r="A219" s="45">
        <v>77010000226</v>
      </c>
      <c r="B219" s="46">
        <f>INDEX('База данных'!$B$2:$B$624,MATCH(A219,'База данных'!$A$2:$A$624,0))</f>
        <v>5</v>
      </c>
      <c r="C219" s="47">
        <f>SUMIF('База данных'!$A$2:$A$624,A219,'База данных'!$D$2:$D$624)</f>
        <v>5.54</v>
      </c>
      <c r="D219" s="46">
        <f>SUMIF('База данных'!$A$2:$A$624,A219,'База данных'!$E$2:$E$624)</f>
        <v>13</v>
      </c>
      <c r="E219" s="46">
        <f t="shared" si="6"/>
        <v>13</v>
      </c>
      <c r="F219" s="46">
        <f t="shared" si="7"/>
        <v>227</v>
      </c>
    </row>
    <row r="220" spans="1:6" x14ac:dyDescent="0.35">
      <c r="A220" s="45">
        <v>77010000227</v>
      </c>
      <c r="B220" s="46">
        <f>INDEX('База данных'!$B$2:$B$624,MATCH(A220,'База данных'!$A$2:$A$624,0))</f>
        <v>5</v>
      </c>
      <c r="C220" s="47">
        <f>SUMIF('База данных'!$A$2:$A$624,A220,'База данных'!$D$2:$D$624)</f>
        <v>0.43</v>
      </c>
      <c r="D220" s="46">
        <f>SUMIF('База данных'!$A$2:$A$624,A220,'База данных'!$E$2:$E$624)</f>
        <v>1</v>
      </c>
      <c r="E220" s="46">
        <f t="shared" si="6"/>
        <v>1</v>
      </c>
      <c r="F220" s="46">
        <f t="shared" si="7"/>
        <v>285</v>
      </c>
    </row>
    <row r="221" spans="1:6" x14ac:dyDescent="0.35">
      <c r="A221" s="45">
        <v>77010000228</v>
      </c>
      <c r="B221" s="46">
        <f>INDEX('База данных'!$B$2:$B$624,MATCH(A221,'База данных'!$A$2:$A$624,0))</f>
        <v>5</v>
      </c>
      <c r="C221" s="47">
        <f>SUMIF('База данных'!$A$2:$A$624,A221,'База данных'!$D$2:$D$624)</f>
        <v>10.65</v>
      </c>
      <c r="D221" s="46">
        <f>SUMIF('База данных'!$A$2:$A$624,A221,'База данных'!$E$2:$E$624)</f>
        <v>25</v>
      </c>
      <c r="E221" s="46">
        <f t="shared" si="6"/>
        <v>25</v>
      </c>
      <c r="F221" s="46">
        <f t="shared" si="7"/>
        <v>153</v>
      </c>
    </row>
    <row r="222" spans="1:6" x14ac:dyDescent="0.35">
      <c r="A222" s="45">
        <v>77010000229</v>
      </c>
      <c r="B222" s="46">
        <f>INDEX('База данных'!$B$2:$B$624,MATCH(A222,'База данных'!$A$2:$A$624,0))</f>
        <v>5</v>
      </c>
      <c r="C222" s="47">
        <f>SUMIF('База данных'!$A$2:$A$624,A222,'База данных'!$D$2:$D$624)</f>
        <v>9.8000000000000007</v>
      </c>
      <c r="D222" s="46">
        <f>SUMIF('База данных'!$A$2:$A$624,A222,'База данных'!$E$2:$E$624)</f>
        <v>23</v>
      </c>
      <c r="E222" s="46">
        <f t="shared" si="6"/>
        <v>23</v>
      </c>
      <c r="F222" s="46">
        <f t="shared" si="7"/>
        <v>162</v>
      </c>
    </row>
    <row r="223" spans="1:6" x14ac:dyDescent="0.35">
      <c r="A223" s="45">
        <v>77010000230</v>
      </c>
      <c r="B223" s="46">
        <f>INDEX('База данных'!$B$2:$B$624,MATCH(A223,'База данных'!$A$2:$A$624,0))</f>
        <v>5</v>
      </c>
      <c r="C223" s="47">
        <f>SUMIF('База данных'!$A$2:$A$624,A223,'База данных'!$D$2:$D$624)</f>
        <v>7.67</v>
      </c>
      <c r="D223" s="46">
        <f>SUMIF('База данных'!$A$2:$A$624,A223,'База данных'!$E$2:$E$624)</f>
        <v>18</v>
      </c>
      <c r="E223" s="46">
        <f t="shared" si="6"/>
        <v>18</v>
      </c>
      <c r="F223" s="46">
        <f t="shared" si="7"/>
        <v>202</v>
      </c>
    </row>
    <row r="224" spans="1:6" x14ac:dyDescent="0.35">
      <c r="A224" s="45">
        <v>77010000231</v>
      </c>
      <c r="B224" s="46">
        <f>INDEX('База данных'!$B$2:$B$624,MATCH(A224,'База данных'!$A$2:$A$624,0))</f>
        <v>5</v>
      </c>
      <c r="C224" s="47">
        <f>SUMIF('База данных'!$A$2:$A$624,A224,'База данных'!$D$2:$D$624)</f>
        <v>4.26</v>
      </c>
      <c r="D224" s="46">
        <f>SUMIF('База данных'!$A$2:$A$624,A224,'База данных'!$E$2:$E$624)</f>
        <v>10</v>
      </c>
      <c r="E224" s="46">
        <f t="shared" si="6"/>
        <v>10</v>
      </c>
      <c r="F224" s="46">
        <f t="shared" si="7"/>
        <v>240</v>
      </c>
    </row>
    <row r="225" spans="1:6" x14ac:dyDescent="0.35">
      <c r="A225" s="45">
        <v>77010000232</v>
      </c>
      <c r="B225" s="46">
        <f>INDEX('База данных'!$B$2:$B$624,MATCH(A225,'База данных'!$A$2:$A$624,0))</f>
        <v>5</v>
      </c>
      <c r="C225" s="47">
        <f>SUMIF('База данных'!$A$2:$A$624,A225,'База данных'!$D$2:$D$624)</f>
        <v>8.1</v>
      </c>
      <c r="D225" s="46">
        <f>SUMIF('База данных'!$A$2:$A$624,A225,'База данных'!$E$2:$E$624)</f>
        <v>19</v>
      </c>
      <c r="E225" s="46">
        <f t="shared" si="6"/>
        <v>19</v>
      </c>
      <c r="F225" s="46">
        <f t="shared" si="7"/>
        <v>198</v>
      </c>
    </row>
    <row r="226" spans="1:6" x14ac:dyDescent="0.35">
      <c r="A226" s="45">
        <v>77010000233</v>
      </c>
      <c r="B226" s="46">
        <f>INDEX('База данных'!$B$2:$B$624,MATCH(A226,'База данных'!$A$2:$A$624,0))</f>
        <v>5</v>
      </c>
      <c r="C226" s="47">
        <f>SUMIF('База данных'!$A$2:$A$624,A226,'База данных'!$D$2:$D$624)</f>
        <v>3.84</v>
      </c>
      <c r="D226" s="46">
        <f>SUMIF('База данных'!$A$2:$A$624,A226,'База данных'!$E$2:$E$624)</f>
        <v>9</v>
      </c>
      <c r="E226" s="46">
        <f t="shared" si="6"/>
        <v>9</v>
      </c>
      <c r="F226" s="46">
        <f t="shared" si="7"/>
        <v>258</v>
      </c>
    </row>
    <row r="227" spans="1:6" x14ac:dyDescent="0.35">
      <c r="A227" s="45">
        <v>77010000234</v>
      </c>
      <c r="B227" s="46">
        <f>INDEX('База данных'!$B$2:$B$624,MATCH(A227,'База данных'!$A$2:$A$624,0))</f>
        <v>5</v>
      </c>
      <c r="C227" s="47">
        <f>SUMIF('База данных'!$A$2:$A$624,A227,'База данных'!$D$2:$D$624)</f>
        <v>12.78</v>
      </c>
      <c r="D227" s="46">
        <f>SUMIF('База данных'!$A$2:$A$624,A227,'База данных'!$E$2:$E$624)</f>
        <v>33</v>
      </c>
      <c r="E227" s="46">
        <f t="shared" si="6"/>
        <v>33</v>
      </c>
      <c r="F227" s="46">
        <f t="shared" si="7"/>
        <v>117</v>
      </c>
    </row>
    <row r="228" spans="1:6" x14ac:dyDescent="0.35">
      <c r="A228" s="45">
        <v>77010000235</v>
      </c>
      <c r="B228" s="46">
        <f>INDEX('База данных'!$B$2:$B$624,MATCH(A228,'База данных'!$A$2:$A$624,0))</f>
        <v>5</v>
      </c>
      <c r="C228" s="47">
        <f>SUMIF('База данных'!$A$2:$A$624,A228,'База данных'!$D$2:$D$624)</f>
        <v>5.9700000000000006</v>
      </c>
      <c r="D228" s="46">
        <f>SUMIF('База данных'!$A$2:$A$624,A228,'База данных'!$E$2:$E$624)</f>
        <v>14</v>
      </c>
      <c r="E228" s="46">
        <f t="shared" si="6"/>
        <v>14</v>
      </c>
      <c r="F228" s="46">
        <f t="shared" si="7"/>
        <v>222</v>
      </c>
    </row>
    <row r="229" spans="1:6" x14ac:dyDescent="0.35">
      <c r="A229" s="45">
        <v>77010000236</v>
      </c>
      <c r="B229" s="46">
        <f>INDEX('База данных'!$B$2:$B$624,MATCH(A229,'База данных'!$A$2:$A$624,0))</f>
        <v>5</v>
      </c>
      <c r="C229" s="47">
        <f>SUMIF('База данных'!$A$2:$A$624,A229,'База данных'!$D$2:$D$624)</f>
        <v>13.219999999999999</v>
      </c>
      <c r="D229" s="46">
        <f>SUMIF('База данных'!$A$2:$A$624,A229,'База данных'!$E$2:$E$624)</f>
        <v>31</v>
      </c>
      <c r="E229" s="46">
        <f t="shared" si="6"/>
        <v>31</v>
      </c>
      <c r="F229" s="46">
        <f t="shared" si="7"/>
        <v>109</v>
      </c>
    </row>
    <row r="230" spans="1:6" x14ac:dyDescent="0.35">
      <c r="A230" s="45">
        <v>77010000237</v>
      </c>
      <c r="B230" s="46">
        <f>INDEX('База данных'!$B$2:$B$624,MATCH(A230,'База данных'!$A$2:$A$624,0))</f>
        <v>5</v>
      </c>
      <c r="C230" s="47">
        <f>SUMIF('База данных'!$A$2:$A$624,A230,'База данных'!$D$2:$D$624)</f>
        <v>5.54</v>
      </c>
      <c r="D230" s="46">
        <f>SUMIF('База данных'!$A$2:$A$624,A230,'База данных'!$E$2:$E$624)</f>
        <v>13</v>
      </c>
      <c r="E230" s="46">
        <f t="shared" si="6"/>
        <v>13</v>
      </c>
      <c r="F230" s="46">
        <f t="shared" si="7"/>
        <v>227</v>
      </c>
    </row>
    <row r="231" spans="1:6" x14ac:dyDescent="0.35">
      <c r="A231" s="45">
        <v>77010000238</v>
      </c>
      <c r="B231" s="46">
        <f>INDEX('База данных'!$B$2:$B$624,MATCH(A231,'База данных'!$A$2:$A$624,0))</f>
        <v>6</v>
      </c>
      <c r="C231" s="47">
        <f>SUMIF('База данных'!$A$2:$A$624,A231,'База данных'!$D$2:$D$624)</f>
        <v>4.26</v>
      </c>
      <c r="D231" s="46">
        <f>SUMIF('База данных'!$A$2:$A$624,A231,'База данных'!$E$2:$E$624)</f>
        <v>3</v>
      </c>
      <c r="E231" s="46" t="str">
        <f t="shared" si="6"/>
        <v/>
      </c>
      <c r="F231" s="46">
        <f t="shared" si="7"/>
        <v>240</v>
      </c>
    </row>
    <row r="232" spans="1:6" x14ac:dyDescent="0.35">
      <c r="A232" s="45">
        <v>77010000239</v>
      </c>
      <c r="B232" s="46">
        <f>INDEX('База данных'!$B$2:$B$624,MATCH(A232,'База данных'!$A$2:$A$624,0))</f>
        <v>6</v>
      </c>
      <c r="C232" s="47">
        <f>SUMIF('База данных'!$A$2:$A$624,A232,'База данных'!$D$2:$D$624)</f>
        <v>4.26</v>
      </c>
      <c r="D232" s="46">
        <f>SUMIF('База данных'!$A$2:$A$624,A232,'База данных'!$E$2:$E$624)</f>
        <v>2</v>
      </c>
      <c r="E232" s="46" t="str">
        <f t="shared" si="6"/>
        <v/>
      </c>
      <c r="F232" s="46">
        <f t="shared" si="7"/>
        <v>240</v>
      </c>
    </row>
    <row r="233" spans="1:6" x14ac:dyDescent="0.35">
      <c r="A233" s="45">
        <v>77010000240</v>
      </c>
      <c r="B233" s="46">
        <f>INDEX('База данных'!$B$2:$B$624,MATCH(A233,'База данных'!$A$2:$A$624,0))</f>
        <v>6</v>
      </c>
      <c r="C233" s="47">
        <f>SUMIF('База данных'!$A$2:$A$624,A233,'База данных'!$D$2:$D$624)</f>
        <v>4.26</v>
      </c>
      <c r="D233" s="46">
        <f>SUMIF('База данных'!$A$2:$A$624,A233,'База данных'!$E$2:$E$624)</f>
        <v>1</v>
      </c>
      <c r="E233" s="46" t="str">
        <f t="shared" si="6"/>
        <v/>
      </c>
      <c r="F233" s="46">
        <f t="shared" si="7"/>
        <v>240</v>
      </c>
    </row>
    <row r="234" spans="1:6" x14ac:dyDescent="0.35">
      <c r="A234" s="45">
        <v>77010000241</v>
      </c>
      <c r="B234" s="46">
        <f>INDEX('База данных'!$B$2:$B$624,MATCH(A234,'База данных'!$A$2:$A$624,0))</f>
        <v>6</v>
      </c>
      <c r="C234" s="47">
        <f>SUMIF('База данных'!$A$2:$A$624,A234,'База данных'!$D$2:$D$624)</f>
        <v>4.26</v>
      </c>
      <c r="D234" s="46">
        <f>SUMIF('База данных'!$A$2:$A$624,A234,'База данных'!$E$2:$E$624)</f>
        <v>6</v>
      </c>
      <c r="E234" s="46" t="str">
        <f t="shared" si="6"/>
        <v/>
      </c>
      <c r="F234" s="46">
        <f t="shared" si="7"/>
        <v>240</v>
      </c>
    </row>
    <row r="235" spans="1:6" x14ac:dyDescent="0.35">
      <c r="A235" s="45">
        <v>77010000242</v>
      </c>
      <c r="B235" s="46">
        <f>INDEX('База данных'!$B$2:$B$624,MATCH(A235,'База данных'!$A$2:$A$624,0))</f>
        <v>6</v>
      </c>
      <c r="C235" s="47">
        <f>SUMIF('База данных'!$A$2:$A$624,A235,'База данных'!$D$2:$D$624)</f>
        <v>4.26</v>
      </c>
      <c r="D235" s="46">
        <f>SUMIF('База данных'!$A$2:$A$624,A235,'База данных'!$E$2:$E$624)</f>
        <v>6</v>
      </c>
      <c r="E235" s="46" t="str">
        <f t="shared" si="6"/>
        <v/>
      </c>
      <c r="F235" s="46">
        <f t="shared" si="7"/>
        <v>240</v>
      </c>
    </row>
    <row r="236" spans="1:6" x14ac:dyDescent="0.35">
      <c r="A236" s="45">
        <v>77010000243</v>
      </c>
      <c r="B236" s="46">
        <f>INDEX('База данных'!$B$2:$B$624,MATCH(A236,'База данных'!$A$2:$A$624,0))</f>
        <v>6</v>
      </c>
      <c r="C236" s="47">
        <f>SUMIF('База данных'!$A$2:$A$624,A236,'База данных'!$D$2:$D$624)</f>
        <v>8.52</v>
      </c>
      <c r="D236" s="46">
        <f>SUMIF('База данных'!$A$2:$A$624,A236,'База данных'!$E$2:$E$624)</f>
        <v>9</v>
      </c>
      <c r="E236" s="46" t="str">
        <f t="shared" si="6"/>
        <v/>
      </c>
      <c r="F236" s="46">
        <f t="shared" si="7"/>
        <v>176</v>
      </c>
    </row>
    <row r="237" spans="1:6" x14ac:dyDescent="0.35">
      <c r="A237" s="45">
        <v>77010000244</v>
      </c>
      <c r="B237" s="46">
        <f>INDEX('База данных'!$B$2:$B$624,MATCH(A237,'База данных'!$A$2:$A$624,0))</f>
        <v>6</v>
      </c>
      <c r="C237" s="47">
        <f>SUMIF('База данных'!$A$2:$A$624,A237,'База данных'!$D$2:$D$624)</f>
        <v>8.52</v>
      </c>
      <c r="D237" s="46">
        <f>SUMIF('База данных'!$A$2:$A$624,A237,'База данных'!$E$2:$E$624)</f>
        <v>2</v>
      </c>
      <c r="E237" s="46" t="str">
        <f t="shared" si="6"/>
        <v/>
      </c>
      <c r="F237" s="46">
        <f t="shared" si="7"/>
        <v>176</v>
      </c>
    </row>
    <row r="238" spans="1:6" x14ac:dyDescent="0.35">
      <c r="A238" s="45">
        <v>77010000245</v>
      </c>
      <c r="B238" s="46">
        <f>INDEX('База данных'!$B$2:$B$624,MATCH(A238,'База данных'!$A$2:$A$624,0))</f>
        <v>6</v>
      </c>
      <c r="C238" s="47">
        <f>SUMIF('База данных'!$A$2:$A$624,A238,'База данных'!$D$2:$D$624)</f>
        <v>17.04</v>
      </c>
      <c r="D238" s="46">
        <f>SUMIF('База данных'!$A$2:$A$624,A238,'База данных'!$E$2:$E$624)</f>
        <v>22</v>
      </c>
      <c r="E238" s="46" t="str">
        <f t="shared" si="6"/>
        <v/>
      </c>
      <c r="F238" s="46">
        <f t="shared" si="7"/>
        <v>75</v>
      </c>
    </row>
    <row r="239" spans="1:6" x14ac:dyDescent="0.35">
      <c r="A239" s="45">
        <v>77010000246</v>
      </c>
      <c r="B239" s="46">
        <f>INDEX('База данных'!$B$2:$B$624,MATCH(A239,'База данных'!$A$2:$A$624,0))</f>
        <v>6</v>
      </c>
      <c r="C239" s="47">
        <f>SUMIF('База данных'!$A$2:$A$624,A239,'База данных'!$D$2:$D$624)</f>
        <v>39.349999999999994</v>
      </c>
      <c r="D239" s="46">
        <f>SUMIF('База данных'!$A$2:$A$624,A239,'База данных'!$E$2:$E$624)</f>
        <v>49</v>
      </c>
      <c r="E239" s="46" t="str">
        <f t="shared" si="6"/>
        <v/>
      </c>
      <c r="F239" s="46">
        <f t="shared" si="7"/>
        <v>11</v>
      </c>
    </row>
    <row r="240" spans="1:6" x14ac:dyDescent="0.35">
      <c r="A240" s="45">
        <v>77010000247</v>
      </c>
      <c r="B240" s="46">
        <f>INDEX('База данных'!$B$2:$B$624,MATCH(A240,'База данных'!$A$2:$A$624,0))</f>
        <v>6</v>
      </c>
      <c r="C240" s="47">
        <f>SUMIF('База данных'!$A$2:$A$624,A240,'База данных'!$D$2:$D$624)</f>
        <v>17.049999999999997</v>
      </c>
      <c r="D240" s="46">
        <f>SUMIF('База данных'!$A$2:$A$624,A240,'База данных'!$E$2:$E$624)</f>
        <v>23</v>
      </c>
      <c r="E240" s="46" t="str">
        <f t="shared" si="6"/>
        <v/>
      </c>
      <c r="F240" s="46">
        <f t="shared" si="7"/>
        <v>73</v>
      </c>
    </row>
    <row r="241" spans="1:6" x14ac:dyDescent="0.35">
      <c r="A241" s="45">
        <v>77010000248</v>
      </c>
      <c r="B241" s="46">
        <f>INDEX('База данных'!$B$2:$B$624,MATCH(A241,'База данных'!$A$2:$A$624,0))</f>
        <v>6</v>
      </c>
      <c r="C241" s="47">
        <f>SUMIF('База данных'!$A$2:$A$624,A241,'База данных'!$D$2:$D$624)</f>
        <v>8.52</v>
      </c>
      <c r="D241" s="46">
        <f>SUMIF('База данных'!$A$2:$A$624,A241,'База данных'!$E$2:$E$624)</f>
        <v>8</v>
      </c>
      <c r="E241" s="46" t="str">
        <f t="shared" si="6"/>
        <v/>
      </c>
      <c r="F241" s="46">
        <f t="shared" si="7"/>
        <v>176</v>
      </c>
    </row>
    <row r="242" spans="1:6" x14ac:dyDescent="0.35">
      <c r="A242" s="45">
        <v>77010000249</v>
      </c>
      <c r="B242" s="46">
        <f>INDEX('База данных'!$B$2:$B$624,MATCH(A242,'База данных'!$A$2:$A$624,0))</f>
        <v>6</v>
      </c>
      <c r="C242" s="47">
        <f>SUMIF('База данных'!$A$2:$A$624,A242,'База данных'!$D$2:$D$624)</f>
        <v>28.759999999999998</v>
      </c>
      <c r="D242" s="46">
        <f>SUMIF('База данных'!$A$2:$A$624,A242,'База данных'!$E$2:$E$624)</f>
        <v>19</v>
      </c>
      <c r="E242" s="46" t="str">
        <f t="shared" si="6"/>
        <v/>
      </c>
      <c r="F242" s="46">
        <f t="shared" si="7"/>
        <v>22</v>
      </c>
    </row>
    <row r="243" spans="1:6" x14ac:dyDescent="0.35">
      <c r="A243" s="45">
        <v>77010000250</v>
      </c>
      <c r="B243" s="46">
        <f>INDEX('База данных'!$B$2:$B$624,MATCH(A243,'База данных'!$A$2:$A$624,0))</f>
        <v>6</v>
      </c>
      <c r="C243" s="47">
        <f>SUMIF('База данных'!$A$2:$A$624,A243,'База данных'!$D$2:$D$624)</f>
        <v>4.26</v>
      </c>
      <c r="D243" s="46">
        <f>SUMIF('База данных'!$A$2:$A$624,A243,'База данных'!$E$2:$E$624)</f>
        <v>7</v>
      </c>
      <c r="E243" s="46" t="str">
        <f t="shared" si="6"/>
        <v/>
      </c>
      <c r="F243" s="46">
        <f t="shared" si="7"/>
        <v>240</v>
      </c>
    </row>
    <row r="244" spans="1:6" x14ac:dyDescent="0.35">
      <c r="A244" s="45">
        <v>77010000251</v>
      </c>
      <c r="B244" s="46">
        <f>INDEX('База данных'!$B$2:$B$624,MATCH(A244,'База данных'!$A$2:$A$624,0))</f>
        <v>6</v>
      </c>
      <c r="C244" s="47">
        <f>SUMIF('База данных'!$A$2:$A$624,A244,'База данных'!$D$2:$D$624)</f>
        <v>4.26</v>
      </c>
      <c r="D244" s="46">
        <f>SUMIF('База данных'!$A$2:$A$624,A244,'База данных'!$E$2:$E$624)</f>
        <v>2</v>
      </c>
      <c r="E244" s="46" t="str">
        <f t="shared" si="6"/>
        <v/>
      </c>
      <c r="F244" s="46">
        <f t="shared" si="7"/>
        <v>240</v>
      </c>
    </row>
    <row r="245" spans="1:6" x14ac:dyDescent="0.35">
      <c r="A245" s="45">
        <v>77010000252</v>
      </c>
      <c r="B245" s="46">
        <f>INDEX('База данных'!$B$2:$B$624,MATCH(A245,'База данных'!$A$2:$A$624,0))</f>
        <v>6</v>
      </c>
      <c r="C245" s="47">
        <f>SUMIF('База данных'!$A$2:$A$624,A245,'База данных'!$D$2:$D$624)</f>
        <v>4.26</v>
      </c>
      <c r="D245" s="46">
        <f>SUMIF('База данных'!$A$2:$A$624,A245,'База данных'!$E$2:$E$624)</f>
        <v>1</v>
      </c>
      <c r="E245" s="46" t="str">
        <f t="shared" si="6"/>
        <v/>
      </c>
      <c r="F245" s="46">
        <f t="shared" si="7"/>
        <v>240</v>
      </c>
    </row>
    <row r="246" spans="1:6" x14ac:dyDescent="0.35">
      <c r="A246" s="45">
        <v>77010000253</v>
      </c>
      <c r="B246" s="46">
        <f>INDEX('База данных'!$B$2:$B$624,MATCH(A246,'База данных'!$A$2:$A$624,0))</f>
        <v>6</v>
      </c>
      <c r="C246" s="47">
        <f>SUMIF('База данных'!$A$2:$A$624,A246,'База данных'!$D$2:$D$624)</f>
        <v>14.87</v>
      </c>
      <c r="D246" s="46">
        <f>SUMIF('База данных'!$A$2:$A$624,A246,'База данных'!$E$2:$E$624)</f>
        <v>12</v>
      </c>
      <c r="E246" s="46" t="str">
        <f t="shared" si="6"/>
        <v/>
      </c>
      <c r="F246" s="46">
        <f t="shared" si="7"/>
        <v>94</v>
      </c>
    </row>
    <row r="247" spans="1:6" x14ac:dyDescent="0.35">
      <c r="A247" s="45">
        <v>77010000254</v>
      </c>
      <c r="B247" s="46">
        <f>INDEX('База данных'!$B$2:$B$624,MATCH(A247,'База данных'!$A$2:$A$624,0))</f>
        <v>6</v>
      </c>
      <c r="C247" s="47">
        <f>SUMIF('База данных'!$A$2:$A$624,A247,'База данных'!$D$2:$D$624)</f>
        <v>12.78</v>
      </c>
      <c r="D247" s="46">
        <f>SUMIF('База данных'!$A$2:$A$624,A247,'База данных'!$E$2:$E$624)</f>
        <v>21</v>
      </c>
      <c r="E247" s="46" t="str">
        <f t="shared" si="6"/>
        <v/>
      </c>
      <c r="F247" s="46">
        <f t="shared" si="7"/>
        <v>117</v>
      </c>
    </row>
    <row r="248" spans="1:6" x14ac:dyDescent="0.35">
      <c r="A248" s="45">
        <v>77010000255</v>
      </c>
      <c r="B248" s="46">
        <f>INDEX('База данных'!$B$2:$B$624,MATCH(A248,'База данных'!$A$2:$A$624,0))</f>
        <v>6</v>
      </c>
      <c r="C248" s="47">
        <f>SUMIF('База данных'!$A$2:$A$624,A248,'База данных'!$D$2:$D$624)</f>
        <v>12.78</v>
      </c>
      <c r="D248" s="46">
        <f>SUMIF('База данных'!$A$2:$A$624,A248,'База данных'!$E$2:$E$624)</f>
        <v>23</v>
      </c>
      <c r="E248" s="46" t="str">
        <f t="shared" si="6"/>
        <v/>
      </c>
      <c r="F248" s="46">
        <f t="shared" si="7"/>
        <v>117</v>
      </c>
    </row>
    <row r="249" spans="1:6" x14ac:dyDescent="0.35">
      <c r="A249" s="45">
        <v>77010000256</v>
      </c>
      <c r="B249" s="46">
        <f>INDEX('База данных'!$B$2:$B$624,MATCH(A249,'База данных'!$A$2:$A$624,0))</f>
        <v>6</v>
      </c>
      <c r="C249" s="47">
        <f>SUMIF('База данных'!$A$2:$A$624,A249,'База данных'!$D$2:$D$624)</f>
        <v>12.78</v>
      </c>
      <c r="D249" s="46">
        <f>SUMIF('База данных'!$A$2:$A$624,A249,'База данных'!$E$2:$E$624)</f>
        <v>23</v>
      </c>
      <c r="E249" s="46" t="str">
        <f t="shared" si="6"/>
        <v/>
      </c>
      <c r="F249" s="46">
        <f t="shared" si="7"/>
        <v>117</v>
      </c>
    </row>
    <row r="250" spans="1:6" x14ac:dyDescent="0.35">
      <c r="A250" s="45">
        <v>77010000257</v>
      </c>
      <c r="B250" s="46">
        <f>INDEX('База данных'!$B$2:$B$624,MATCH(A250,'База данных'!$A$2:$A$624,0))</f>
        <v>6</v>
      </c>
      <c r="C250" s="47">
        <f>SUMIF('База данных'!$A$2:$A$624,A250,'База данных'!$D$2:$D$624)</f>
        <v>12.78</v>
      </c>
      <c r="D250" s="46">
        <f>SUMIF('База данных'!$A$2:$A$624,A250,'База данных'!$E$2:$E$624)</f>
        <v>20</v>
      </c>
      <c r="E250" s="46" t="str">
        <f t="shared" si="6"/>
        <v/>
      </c>
      <c r="F250" s="46">
        <f t="shared" si="7"/>
        <v>117</v>
      </c>
    </row>
    <row r="251" spans="1:6" x14ac:dyDescent="0.35">
      <c r="A251" s="45">
        <v>77010000258</v>
      </c>
      <c r="B251" s="46">
        <f>INDEX('База данных'!$B$2:$B$624,MATCH(A251,'База данных'!$A$2:$A$624,0))</f>
        <v>6</v>
      </c>
      <c r="C251" s="47">
        <f>SUMIF('База данных'!$A$2:$A$624,A251,'База данных'!$D$2:$D$624)</f>
        <v>12.78</v>
      </c>
      <c r="D251" s="46">
        <f>SUMIF('База данных'!$A$2:$A$624,A251,'База данных'!$E$2:$E$624)</f>
        <v>29</v>
      </c>
      <c r="E251" s="46" t="str">
        <f t="shared" si="6"/>
        <v/>
      </c>
      <c r="F251" s="46">
        <f t="shared" si="7"/>
        <v>117</v>
      </c>
    </row>
    <row r="252" spans="1:6" x14ac:dyDescent="0.35">
      <c r="A252" s="45">
        <v>77010000259</v>
      </c>
      <c r="B252" s="46">
        <f>INDEX('База данных'!$B$2:$B$624,MATCH(A252,'База данных'!$A$2:$A$624,0))</f>
        <v>6</v>
      </c>
      <c r="C252" s="47">
        <f>SUMIF('База данных'!$A$2:$A$624,A252,'База данных'!$D$2:$D$624)</f>
        <v>12.78</v>
      </c>
      <c r="D252" s="46">
        <f>SUMIF('База данных'!$A$2:$A$624,A252,'База данных'!$E$2:$E$624)</f>
        <v>22</v>
      </c>
      <c r="E252" s="46" t="str">
        <f t="shared" si="6"/>
        <v/>
      </c>
      <c r="F252" s="46">
        <f t="shared" si="7"/>
        <v>117</v>
      </c>
    </row>
    <row r="253" spans="1:6" x14ac:dyDescent="0.35">
      <c r="A253" s="45">
        <v>77010000260</v>
      </c>
      <c r="B253" s="46">
        <f>INDEX('База данных'!$B$2:$B$624,MATCH(A253,'База данных'!$A$2:$A$624,0))</f>
        <v>6</v>
      </c>
      <c r="C253" s="47">
        <f>SUMIF('База данных'!$A$2:$A$624,A253,'База данных'!$D$2:$D$624)</f>
        <v>12.78</v>
      </c>
      <c r="D253" s="46">
        <f>SUMIF('База данных'!$A$2:$A$624,A253,'База данных'!$E$2:$E$624)</f>
        <v>24</v>
      </c>
      <c r="E253" s="46" t="str">
        <f t="shared" si="6"/>
        <v/>
      </c>
      <c r="F253" s="46">
        <f t="shared" si="7"/>
        <v>117</v>
      </c>
    </row>
    <row r="254" spans="1:6" x14ac:dyDescent="0.35">
      <c r="A254" s="45">
        <v>77010000261</v>
      </c>
      <c r="B254" s="46">
        <f>INDEX('База данных'!$B$2:$B$624,MATCH(A254,'База данных'!$A$2:$A$624,0))</f>
        <v>6</v>
      </c>
      <c r="C254" s="47">
        <f>SUMIF('База данных'!$A$2:$A$624,A254,'База данных'!$D$2:$D$624)</f>
        <v>4.26</v>
      </c>
      <c r="D254" s="46">
        <f>SUMIF('База данных'!$A$2:$A$624,A254,'База данных'!$E$2:$E$624)</f>
        <v>8</v>
      </c>
      <c r="E254" s="46" t="str">
        <f t="shared" si="6"/>
        <v/>
      </c>
      <c r="F254" s="46">
        <f t="shared" si="7"/>
        <v>240</v>
      </c>
    </row>
    <row r="255" spans="1:6" x14ac:dyDescent="0.35">
      <c r="A255" s="45">
        <v>77010000262</v>
      </c>
      <c r="B255" s="46">
        <f>INDEX('База данных'!$B$2:$B$624,MATCH(A255,'База данных'!$A$2:$A$624,0))</f>
        <v>6</v>
      </c>
      <c r="C255" s="47">
        <f>SUMIF('База данных'!$A$2:$A$624,A255,'База данных'!$D$2:$D$624)</f>
        <v>0</v>
      </c>
      <c r="D255" s="46">
        <f>SUMIF('База данных'!$A$2:$A$624,A255,'База данных'!$E$2:$E$624)</f>
        <v>0</v>
      </c>
      <c r="E255" s="46" t="str">
        <f t="shared" si="6"/>
        <v/>
      </c>
      <c r="F255" s="46">
        <f t="shared" si="7"/>
        <v>291</v>
      </c>
    </row>
    <row r="256" spans="1:6" x14ac:dyDescent="0.35">
      <c r="A256" s="45">
        <v>77010000268</v>
      </c>
      <c r="B256" s="46">
        <f>INDEX('База данных'!$B$2:$B$624,MATCH(A256,'База данных'!$A$2:$A$624,0))</f>
        <v>6</v>
      </c>
      <c r="C256" s="47">
        <f>SUMIF('База данных'!$A$2:$A$624,A256,'База данных'!$D$2:$D$624)</f>
        <v>8.52</v>
      </c>
      <c r="D256" s="46">
        <f>SUMIF('База данных'!$A$2:$A$624,A256,'База данных'!$E$2:$E$624)</f>
        <v>11</v>
      </c>
      <c r="E256" s="46" t="str">
        <f t="shared" si="6"/>
        <v/>
      </c>
      <c r="F256" s="46">
        <f t="shared" si="7"/>
        <v>176</v>
      </c>
    </row>
    <row r="257" spans="1:6" x14ac:dyDescent="0.35">
      <c r="A257" s="45">
        <v>77010000269</v>
      </c>
      <c r="B257" s="46">
        <f>INDEX('База данных'!$B$2:$B$624,MATCH(A257,'База данных'!$A$2:$A$624,0))</f>
        <v>6</v>
      </c>
      <c r="C257" s="47">
        <f>SUMIF('База данных'!$A$2:$A$624,A257,'База данных'!$D$2:$D$624)</f>
        <v>17.049999999999997</v>
      </c>
      <c r="D257" s="46">
        <f>SUMIF('База данных'!$A$2:$A$624,A257,'База данных'!$E$2:$E$624)</f>
        <v>22</v>
      </c>
      <c r="E257" s="46" t="str">
        <f t="shared" si="6"/>
        <v/>
      </c>
      <c r="F257" s="46">
        <f t="shared" si="7"/>
        <v>73</v>
      </c>
    </row>
    <row r="258" spans="1:6" x14ac:dyDescent="0.35">
      <c r="A258" s="45">
        <v>77010000270</v>
      </c>
      <c r="B258" s="46">
        <f>INDEX('База данных'!$B$2:$B$624,MATCH(A258,'База данных'!$A$2:$A$624,0))</f>
        <v>6</v>
      </c>
      <c r="C258" s="47">
        <f>SUMIF('База данных'!$A$2:$A$624,A258,'База данных'!$D$2:$D$624)</f>
        <v>8.52</v>
      </c>
      <c r="D258" s="46">
        <f>SUMIF('База данных'!$A$2:$A$624,A258,'База данных'!$E$2:$E$624)</f>
        <v>8</v>
      </c>
      <c r="E258" s="46" t="str">
        <f t="shared" ref="E258:E321" si="8">IF(B258=5,D258,"")</f>
        <v/>
      </c>
      <c r="F258" s="46">
        <f t="shared" ref="F258:F293" si="9">RANK(C258,$C$2:$C$293)</f>
        <v>176</v>
      </c>
    </row>
    <row r="259" spans="1:6" x14ac:dyDescent="0.35">
      <c r="A259" s="45">
        <v>77010000271</v>
      </c>
      <c r="B259" s="46">
        <f>INDEX('База данных'!$B$2:$B$624,MATCH(A259,'База данных'!$A$2:$A$624,0))</f>
        <v>6</v>
      </c>
      <c r="C259" s="47">
        <f>SUMIF('База данных'!$A$2:$A$624,A259,'База данных'!$D$2:$D$624)</f>
        <v>11.69</v>
      </c>
      <c r="D259" s="46">
        <f>SUMIF('База данных'!$A$2:$A$624,A259,'База данных'!$E$2:$E$624)</f>
        <v>5</v>
      </c>
      <c r="E259" s="46" t="str">
        <f t="shared" si="8"/>
        <v/>
      </c>
      <c r="F259" s="46">
        <f t="shared" si="9"/>
        <v>143</v>
      </c>
    </row>
    <row r="260" spans="1:6" x14ac:dyDescent="0.35">
      <c r="A260" s="45">
        <v>77010000272</v>
      </c>
      <c r="B260" s="46">
        <f>INDEX('База данных'!$B$2:$B$624,MATCH(A260,'База данных'!$A$2:$A$624,0))</f>
        <v>6</v>
      </c>
      <c r="C260" s="47">
        <f>SUMIF('База данных'!$A$2:$A$624,A260,'База данных'!$D$2:$D$624)</f>
        <v>21.299999999999997</v>
      </c>
      <c r="D260" s="46">
        <f>SUMIF('База данных'!$A$2:$A$624,A260,'База данных'!$E$2:$E$624)</f>
        <v>42</v>
      </c>
      <c r="E260" s="46" t="str">
        <f t="shared" si="8"/>
        <v/>
      </c>
      <c r="F260" s="46">
        <f t="shared" si="9"/>
        <v>48</v>
      </c>
    </row>
    <row r="261" spans="1:6" x14ac:dyDescent="0.35">
      <c r="A261" s="45">
        <v>77010000273</v>
      </c>
      <c r="B261" s="46">
        <f>INDEX('База данных'!$B$2:$B$624,MATCH(A261,'База данных'!$A$2:$A$624,0))</f>
        <v>6</v>
      </c>
      <c r="C261" s="47">
        <f>SUMIF('База данных'!$A$2:$A$624,A261,'База данных'!$D$2:$D$624)</f>
        <v>8.52</v>
      </c>
      <c r="D261" s="46">
        <f>SUMIF('База данных'!$A$2:$A$624,A261,'База данных'!$E$2:$E$624)</f>
        <v>3</v>
      </c>
      <c r="E261" s="46" t="str">
        <f t="shared" si="8"/>
        <v/>
      </c>
      <c r="F261" s="46">
        <f t="shared" si="9"/>
        <v>176</v>
      </c>
    </row>
    <row r="262" spans="1:6" x14ac:dyDescent="0.35">
      <c r="A262" s="45">
        <v>77010000274</v>
      </c>
      <c r="B262" s="46">
        <f>INDEX('База данных'!$B$2:$B$624,MATCH(A262,'База данных'!$A$2:$A$624,0))</f>
        <v>6</v>
      </c>
      <c r="C262" s="47">
        <f>SUMIF('База данных'!$A$2:$A$624,A262,'База данных'!$D$2:$D$624)</f>
        <v>12.78</v>
      </c>
      <c r="D262" s="46">
        <f>SUMIF('База данных'!$A$2:$A$624,A262,'База данных'!$E$2:$E$624)</f>
        <v>25</v>
      </c>
      <c r="E262" s="46" t="str">
        <f t="shared" si="8"/>
        <v/>
      </c>
      <c r="F262" s="46">
        <f t="shared" si="9"/>
        <v>117</v>
      </c>
    </row>
    <row r="263" spans="1:6" x14ac:dyDescent="0.35">
      <c r="A263" s="45">
        <v>77010000275</v>
      </c>
      <c r="B263" s="46">
        <f>INDEX('База данных'!$B$2:$B$624,MATCH(A263,'База данных'!$A$2:$A$624,0))</f>
        <v>6</v>
      </c>
      <c r="C263" s="47">
        <f>SUMIF('База данных'!$A$2:$A$624,A263,'База данных'!$D$2:$D$624)</f>
        <v>12.78</v>
      </c>
      <c r="D263" s="46">
        <f>SUMIF('База данных'!$A$2:$A$624,A263,'База данных'!$E$2:$E$624)</f>
        <v>22</v>
      </c>
      <c r="E263" s="46" t="str">
        <f t="shared" si="8"/>
        <v/>
      </c>
      <c r="F263" s="46">
        <f t="shared" si="9"/>
        <v>117</v>
      </c>
    </row>
    <row r="264" spans="1:6" x14ac:dyDescent="0.35">
      <c r="A264" s="45">
        <v>77010000276</v>
      </c>
      <c r="B264" s="46">
        <f>INDEX('База данных'!$B$2:$B$624,MATCH(A264,'База данных'!$A$2:$A$624,0))</f>
        <v>6</v>
      </c>
      <c r="C264" s="47">
        <f>SUMIF('База данных'!$A$2:$A$624,A264,'База данных'!$D$2:$D$624)</f>
        <v>8.52</v>
      </c>
      <c r="D264" s="46">
        <f>SUMIF('База данных'!$A$2:$A$624,A264,'База данных'!$E$2:$E$624)</f>
        <v>12</v>
      </c>
      <c r="E264" s="46" t="str">
        <f t="shared" si="8"/>
        <v/>
      </c>
      <c r="F264" s="46">
        <f t="shared" si="9"/>
        <v>176</v>
      </c>
    </row>
    <row r="265" spans="1:6" x14ac:dyDescent="0.35">
      <c r="A265" s="45">
        <v>77010000277</v>
      </c>
      <c r="B265" s="46">
        <f>INDEX('База данных'!$B$2:$B$624,MATCH(A265,'База данных'!$A$2:$A$624,0))</f>
        <v>6</v>
      </c>
      <c r="C265" s="47">
        <f>SUMIF('База данных'!$A$2:$A$624,A265,'База данных'!$D$2:$D$624)</f>
        <v>8.52</v>
      </c>
      <c r="D265" s="46">
        <f>SUMIF('База данных'!$A$2:$A$624,A265,'База данных'!$E$2:$E$624)</f>
        <v>14</v>
      </c>
      <c r="E265" s="46" t="str">
        <f t="shared" si="8"/>
        <v/>
      </c>
      <c r="F265" s="46">
        <f t="shared" si="9"/>
        <v>176</v>
      </c>
    </row>
    <row r="266" spans="1:6" x14ac:dyDescent="0.35">
      <c r="A266" s="45">
        <v>77010000278</v>
      </c>
      <c r="B266" s="46">
        <f>INDEX('База данных'!$B$2:$B$624,MATCH(A266,'База данных'!$A$2:$A$624,0))</f>
        <v>6</v>
      </c>
      <c r="C266" s="47">
        <f>SUMIF('База данных'!$A$2:$A$624,A266,'База данных'!$D$2:$D$624)</f>
        <v>21.31</v>
      </c>
      <c r="D266" s="46">
        <f>SUMIF('База данных'!$A$2:$A$624,A266,'База данных'!$E$2:$E$624)</f>
        <v>35</v>
      </c>
      <c r="E266" s="46" t="str">
        <f t="shared" si="8"/>
        <v/>
      </c>
      <c r="F266" s="46">
        <f t="shared" si="9"/>
        <v>47</v>
      </c>
    </row>
    <row r="267" spans="1:6" x14ac:dyDescent="0.35">
      <c r="A267" s="45">
        <v>77010000279</v>
      </c>
      <c r="B267" s="46">
        <f>INDEX('База данных'!$B$2:$B$624,MATCH(A267,'База данных'!$A$2:$A$624,0))</f>
        <v>6</v>
      </c>
      <c r="C267" s="47">
        <f>SUMIF('База данных'!$A$2:$A$624,A267,'База данных'!$D$2:$D$624)</f>
        <v>12.78</v>
      </c>
      <c r="D267" s="46">
        <f>SUMIF('База данных'!$A$2:$A$624,A267,'База данных'!$E$2:$E$624)</f>
        <v>13</v>
      </c>
      <c r="E267" s="46" t="str">
        <f t="shared" si="8"/>
        <v/>
      </c>
      <c r="F267" s="46">
        <f t="shared" si="9"/>
        <v>117</v>
      </c>
    </row>
    <row r="268" spans="1:6" x14ac:dyDescent="0.35">
      <c r="A268" s="45">
        <v>77010000280</v>
      </c>
      <c r="B268" s="46">
        <f>INDEX('База данных'!$B$2:$B$624,MATCH(A268,'База данных'!$A$2:$A$624,0))</f>
        <v>6</v>
      </c>
      <c r="C268" s="47">
        <f>SUMIF('База данных'!$A$2:$A$624,A268,'База данных'!$D$2:$D$624)</f>
        <v>17.04</v>
      </c>
      <c r="D268" s="46">
        <f>SUMIF('База данных'!$A$2:$A$624,A268,'База данных'!$E$2:$E$624)</f>
        <v>26</v>
      </c>
      <c r="E268" s="46" t="str">
        <f t="shared" si="8"/>
        <v/>
      </c>
      <c r="F268" s="46">
        <f t="shared" si="9"/>
        <v>75</v>
      </c>
    </row>
    <row r="269" spans="1:6" x14ac:dyDescent="0.35">
      <c r="A269" s="45">
        <v>77010000281</v>
      </c>
      <c r="B269" s="46">
        <f>INDEX('База данных'!$B$2:$B$624,MATCH(A269,'База данных'!$A$2:$A$624,0))</f>
        <v>6</v>
      </c>
      <c r="C269" s="47">
        <f>SUMIF('База данных'!$A$2:$A$624,A269,'База данных'!$D$2:$D$624)</f>
        <v>8.52</v>
      </c>
      <c r="D269" s="46">
        <f>SUMIF('База данных'!$A$2:$A$624,A269,'База данных'!$E$2:$E$624)</f>
        <v>5</v>
      </c>
      <c r="E269" s="46" t="str">
        <f t="shared" si="8"/>
        <v/>
      </c>
      <c r="F269" s="46">
        <f t="shared" si="9"/>
        <v>176</v>
      </c>
    </row>
    <row r="270" spans="1:6" x14ac:dyDescent="0.35">
      <c r="A270" s="45">
        <v>77010000282</v>
      </c>
      <c r="B270" s="46">
        <f>INDEX('База данных'!$B$2:$B$624,MATCH(A270,'База данных'!$A$2:$A$624,0))</f>
        <v>6</v>
      </c>
      <c r="C270" s="47">
        <f>SUMIF('База данных'!$A$2:$A$624,A270,'База данных'!$D$2:$D$624)</f>
        <v>4.26</v>
      </c>
      <c r="D270" s="46">
        <f>SUMIF('База данных'!$A$2:$A$624,A270,'База данных'!$E$2:$E$624)</f>
        <v>8</v>
      </c>
      <c r="E270" s="46" t="str">
        <f t="shared" si="8"/>
        <v/>
      </c>
      <c r="F270" s="46">
        <f t="shared" si="9"/>
        <v>240</v>
      </c>
    </row>
    <row r="271" spans="1:6" x14ac:dyDescent="0.35">
      <c r="A271" s="45">
        <v>77010000283</v>
      </c>
      <c r="B271" s="46">
        <f>INDEX('База данных'!$B$2:$B$624,MATCH(A271,'База данных'!$A$2:$A$624,0))</f>
        <v>6</v>
      </c>
      <c r="C271" s="47">
        <f>SUMIF('База данных'!$A$2:$A$624,A271,'База данных'!$D$2:$D$624)</f>
        <v>12.79</v>
      </c>
      <c r="D271" s="46">
        <f>SUMIF('База данных'!$A$2:$A$624,A271,'База данных'!$E$2:$E$624)</f>
        <v>22</v>
      </c>
      <c r="E271" s="46" t="str">
        <f t="shared" si="8"/>
        <v/>
      </c>
      <c r="F271" s="46">
        <f t="shared" si="9"/>
        <v>114</v>
      </c>
    </row>
    <row r="272" spans="1:6" x14ac:dyDescent="0.35">
      <c r="A272" s="45">
        <v>77010000284</v>
      </c>
      <c r="B272" s="46">
        <f>INDEX('База данных'!$B$2:$B$624,MATCH(A272,'База данных'!$A$2:$A$624,0))</f>
        <v>6</v>
      </c>
      <c r="C272" s="47">
        <f>SUMIF('База данных'!$A$2:$A$624,A272,'База данных'!$D$2:$D$624)</f>
        <v>8.52</v>
      </c>
      <c r="D272" s="46">
        <f>SUMIF('База данных'!$A$2:$A$624,A272,'База данных'!$E$2:$E$624)</f>
        <v>15</v>
      </c>
      <c r="E272" s="46" t="str">
        <f t="shared" si="8"/>
        <v/>
      </c>
      <c r="F272" s="46">
        <f t="shared" si="9"/>
        <v>176</v>
      </c>
    </row>
    <row r="273" spans="1:6" x14ac:dyDescent="0.35">
      <c r="A273" s="45">
        <v>77010000285</v>
      </c>
      <c r="B273" s="46">
        <f>INDEX('База данных'!$B$2:$B$624,MATCH(A273,'База данных'!$A$2:$A$624,0))</f>
        <v>6</v>
      </c>
      <c r="C273" s="47">
        <f>SUMIF('База данных'!$A$2:$A$624,A273,'База данных'!$D$2:$D$624)</f>
        <v>4.26</v>
      </c>
      <c r="D273" s="46">
        <f>SUMIF('База данных'!$A$2:$A$624,A273,'База данных'!$E$2:$E$624)</f>
        <v>5</v>
      </c>
      <c r="E273" s="46" t="str">
        <f t="shared" si="8"/>
        <v/>
      </c>
      <c r="F273" s="46">
        <f t="shared" si="9"/>
        <v>240</v>
      </c>
    </row>
    <row r="274" spans="1:6" x14ac:dyDescent="0.35">
      <c r="A274" s="45">
        <v>77010000286</v>
      </c>
      <c r="B274" s="46">
        <f>INDEX('База данных'!$B$2:$B$624,MATCH(A274,'База данных'!$A$2:$A$624,0))</f>
        <v>6</v>
      </c>
      <c r="C274" s="47">
        <f>SUMIF('База данных'!$A$2:$A$624,A274,'База данных'!$D$2:$D$624)</f>
        <v>8.52</v>
      </c>
      <c r="D274" s="46">
        <f>SUMIF('База данных'!$A$2:$A$624,A274,'База данных'!$E$2:$E$624)</f>
        <v>14</v>
      </c>
      <c r="E274" s="46" t="str">
        <f t="shared" si="8"/>
        <v/>
      </c>
      <c r="F274" s="46">
        <f t="shared" si="9"/>
        <v>176</v>
      </c>
    </row>
    <row r="275" spans="1:6" x14ac:dyDescent="0.35">
      <c r="A275" s="45">
        <v>77010000287</v>
      </c>
      <c r="B275" s="46">
        <f>INDEX('База данных'!$B$2:$B$624,MATCH(A275,'База данных'!$A$2:$A$624,0))</f>
        <v>6</v>
      </c>
      <c r="C275" s="47">
        <f>SUMIF('База данных'!$A$2:$A$624,A275,'База данных'!$D$2:$D$624)</f>
        <v>8.52</v>
      </c>
      <c r="D275" s="46">
        <f>SUMIF('База данных'!$A$2:$A$624,A275,'База данных'!$E$2:$E$624)</f>
        <v>10</v>
      </c>
      <c r="E275" s="46" t="str">
        <f t="shared" si="8"/>
        <v/>
      </c>
      <c r="F275" s="46">
        <f t="shared" si="9"/>
        <v>176</v>
      </c>
    </row>
    <row r="276" spans="1:6" x14ac:dyDescent="0.35">
      <c r="A276" s="45">
        <v>77010000288</v>
      </c>
      <c r="B276" s="46">
        <f>INDEX('База данных'!$B$2:$B$624,MATCH(A276,'База данных'!$A$2:$A$624,0))</f>
        <v>6</v>
      </c>
      <c r="C276" s="47">
        <f>SUMIF('База данных'!$A$2:$A$624,A276,'База данных'!$D$2:$D$624)</f>
        <v>8.52</v>
      </c>
      <c r="D276" s="46">
        <f>SUMIF('База данных'!$A$2:$A$624,A276,'База данных'!$E$2:$E$624)</f>
        <v>5</v>
      </c>
      <c r="E276" s="46" t="str">
        <f t="shared" si="8"/>
        <v/>
      </c>
      <c r="F276" s="46">
        <f t="shared" si="9"/>
        <v>176</v>
      </c>
    </row>
    <row r="277" spans="1:6" x14ac:dyDescent="0.35">
      <c r="A277" s="45">
        <v>77010000289</v>
      </c>
      <c r="B277" s="46">
        <f>INDEX('База данных'!$B$2:$B$624,MATCH(A277,'База данных'!$A$2:$A$624,0))</f>
        <v>6</v>
      </c>
      <c r="C277" s="47">
        <f>SUMIF('База данных'!$A$2:$A$624,A277,'База данных'!$D$2:$D$624)</f>
        <v>4.26</v>
      </c>
      <c r="D277" s="46">
        <f>SUMIF('База данных'!$A$2:$A$624,A277,'База данных'!$E$2:$E$624)</f>
        <v>6</v>
      </c>
      <c r="E277" s="46" t="str">
        <f t="shared" si="8"/>
        <v/>
      </c>
      <c r="F277" s="46">
        <f t="shared" si="9"/>
        <v>240</v>
      </c>
    </row>
    <row r="278" spans="1:6" x14ac:dyDescent="0.35">
      <c r="A278" s="45">
        <v>77010000290</v>
      </c>
      <c r="B278" s="46">
        <f>INDEX('База данных'!$B$2:$B$624,MATCH(A278,'База данных'!$A$2:$A$624,0))</f>
        <v>6</v>
      </c>
      <c r="C278" s="47">
        <f>SUMIF('База данных'!$A$2:$A$624,A278,'База данных'!$D$2:$D$624)</f>
        <v>8.52</v>
      </c>
      <c r="D278" s="46">
        <f>SUMIF('База данных'!$A$2:$A$624,A278,'База данных'!$E$2:$E$624)</f>
        <v>10</v>
      </c>
      <c r="E278" s="46" t="str">
        <f t="shared" si="8"/>
        <v/>
      </c>
      <c r="F278" s="46">
        <f t="shared" si="9"/>
        <v>176</v>
      </c>
    </row>
    <row r="279" spans="1:6" x14ac:dyDescent="0.35">
      <c r="A279" s="45">
        <v>77010000291</v>
      </c>
      <c r="B279" s="46">
        <f>INDEX('База данных'!$B$2:$B$624,MATCH(A279,'База данных'!$A$2:$A$624,0))</f>
        <v>6</v>
      </c>
      <c r="C279" s="47">
        <f>SUMIF('База данных'!$A$2:$A$624,A279,'База данных'!$D$2:$D$624)</f>
        <v>25.57</v>
      </c>
      <c r="D279" s="46">
        <f>SUMIF('База данных'!$A$2:$A$624,A279,'База данных'!$E$2:$E$624)</f>
        <v>36</v>
      </c>
      <c r="E279" s="46" t="str">
        <f t="shared" si="8"/>
        <v/>
      </c>
      <c r="F279" s="46">
        <f t="shared" si="9"/>
        <v>30</v>
      </c>
    </row>
    <row r="280" spans="1:6" x14ac:dyDescent="0.35">
      <c r="A280" s="45">
        <v>77010000292</v>
      </c>
      <c r="B280" s="46">
        <f>INDEX('База данных'!$B$2:$B$624,MATCH(A280,'База данных'!$A$2:$A$624,0))</f>
        <v>6</v>
      </c>
      <c r="C280" s="47">
        <f>SUMIF('База данных'!$A$2:$A$624,A280,'База данных'!$D$2:$D$624)</f>
        <v>21.299999999999997</v>
      </c>
      <c r="D280" s="46">
        <f>SUMIF('База данных'!$A$2:$A$624,A280,'База данных'!$E$2:$E$624)</f>
        <v>36</v>
      </c>
      <c r="E280" s="46" t="str">
        <f t="shared" si="8"/>
        <v/>
      </c>
      <c r="F280" s="46">
        <f t="shared" si="9"/>
        <v>48</v>
      </c>
    </row>
    <row r="281" spans="1:6" x14ac:dyDescent="0.35">
      <c r="A281" s="45">
        <v>77010000293</v>
      </c>
      <c r="B281" s="46">
        <f>INDEX('База данных'!$B$2:$B$624,MATCH(A281,'База данных'!$A$2:$A$624,0))</f>
        <v>6</v>
      </c>
      <c r="C281" s="47">
        <f>SUMIF('База данных'!$A$2:$A$624,A281,'База данных'!$D$2:$D$624)</f>
        <v>11.69</v>
      </c>
      <c r="D281" s="46">
        <f>SUMIF('База данных'!$A$2:$A$624,A281,'База данных'!$E$2:$E$624)</f>
        <v>8</v>
      </c>
      <c r="E281" s="46" t="str">
        <f t="shared" si="8"/>
        <v/>
      </c>
      <c r="F281" s="46">
        <f t="shared" si="9"/>
        <v>143</v>
      </c>
    </row>
    <row r="282" spans="1:6" x14ac:dyDescent="0.35">
      <c r="A282" s="45">
        <v>77010000294</v>
      </c>
      <c r="B282" s="46">
        <f>INDEX('База данных'!$B$2:$B$624,MATCH(A282,'База данных'!$A$2:$A$624,0))</f>
        <v>6</v>
      </c>
      <c r="C282" s="47">
        <f>SUMIF('База данных'!$A$2:$A$624,A282,'База данных'!$D$2:$D$624)</f>
        <v>4.26</v>
      </c>
      <c r="D282" s="46">
        <f>SUMIF('База данных'!$A$2:$A$624,A282,'База данных'!$E$2:$E$624)</f>
        <v>4</v>
      </c>
      <c r="E282" s="46" t="str">
        <f t="shared" si="8"/>
        <v/>
      </c>
      <c r="F282" s="46">
        <f t="shared" si="9"/>
        <v>240</v>
      </c>
    </row>
    <row r="283" spans="1:6" x14ac:dyDescent="0.35">
      <c r="A283" s="45">
        <v>77010000295</v>
      </c>
      <c r="B283" s="46">
        <f>INDEX('База данных'!$B$2:$B$624,MATCH(A283,'База данных'!$A$2:$A$624,0))</f>
        <v>6</v>
      </c>
      <c r="C283" s="47">
        <f>SUMIF('База данных'!$A$2:$A$624,A283,'База данных'!$D$2:$D$624)</f>
        <v>4.26</v>
      </c>
      <c r="D283" s="46">
        <f>SUMIF('База данных'!$A$2:$A$624,A283,'База данных'!$E$2:$E$624)</f>
        <v>5</v>
      </c>
      <c r="E283" s="46" t="str">
        <f t="shared" si="8"/>
        <v/>
      </c>
      <c r="F283" s="46">
        <f t="shared" si="9"/>
        <v>240</v>
      </c>
    </row>
    <row r="284" spans="1:6" x14ac:dyDescent="0.35">
      <c r="A284" s="45">
        <v>77010000296</v>
      </c>
      <c r="B284" s="46">
        <f>INDEX('База данных'!$B$2:$B$624,MATCH(A284,'База данных'!$A$2:$A$624,0))</f>
        <v>6</v>
      </c>
      <c r="C284" s="47">
        <f>SUMIF('База данных'!$A$2:$A$624,A284,'База данных'!$D$2:$D$624)</f>
        <v>8.52</v>
      </c>
      <c r="D284" s="46">
        <f>SUMIF('База данных'!$A$2:$A$624,A284,'База данных'!$E$2:$E$624)</f>
        <v>12</v>
      </c>
      <c r="E284" s="46" t="str">
        <f t="shared" si="8"/>
        <v/>
      </c>
      <c r="F284" s="46">
        <f t="shared" si="9"/>
        <v>176</v>
      </c>
    </row>
    <row r="285" spans="1:6" x14ac:dyDescent="0.35">
      <c r="A285" s="45">
        <v>77010000297</v>
      </c>
      <c r="B285" s="46">
        <f>INDEX('База данных'!$B$2:$B$624,MATCH(A285,'База данных'!$A$2:$A$624,0))</f>
        <v>6</v>
      </c>
      <c r="C285" s="47">
        <f>SUMIF('База данных'!$A$2:$A$624,A285,'База данных'!$D$2:$D$624)</f>
        <v>8.52</v>
      </c>
      <c r="D285" s="46">
        <f>SUMIF('База данных'!$A$2:$A$624,A285,'База данных'!$E$2:$E$624)</f>
        <v>15</v>
      </c>
      <c r="E285" s="46" t="str">
        <f t="shared" si="8"/>
        <v/>
      </c>
      <c r="F285" s="46">
        <f t="shared" si="9"/>
        <v>176</v>
      </c>
    </row>
    <row r="286" spans="1:6" x14ac:dyDescent="0.35">
      <c r="A286" s="45">
        <v>77010000306</v>
      </c>
      <c r="B286" s="46">
        <f>INDEX('База данных'!$B$2:$B$624,MATCH(A286,'База данных'!$A$2:$A$624,0))</f>
        <v>6</v>
      </c>
      <c r="C286" s="47">
        <f>SUMIF('База данных'!$A$2:$A$624,A286,'База данных'!$D$2:$D$624)</f>
        <v>8.52</v>
      </c>
      <c r="D286" s="46">
        <f>SUMIF('База данных'!$A$2:$A$624,A286,'База данных'!$E$2:$E$624)</f>
        <v>11</v>
      </c>
      <c r="E286" s="46" t="str">
        <f t="shared" si="8"/>
        <v/>
      </c>
      <c r="F286" s="46">
        <f t="shared" si="9"/>
        <v>176</v>
      </c>
    </row>
    <row r="287" spans="1:6" x14ac:dyDescent="0.35">
      <c r="A287" s="45">
        <v>77010000307</v>
      </c>
      <c r="B287" s="46">
        <f>INDEX('База данных'!$B$2:$B$624,MATCH(A287,'База данных'!$A$2:$A$624,0))</f>
        <v>6</v>
      </c>
      <c r="C287" s="47">
        <f>SUMIF('База данных'!$A$2:$A$624,A287,'База данных'!$D$2:$D$624)</f>
        <v>12.78</v>
      </c>
      <c r="D287" s="46">
        <f>SUMIF('База данных'!$A$2:$A$624,A287,'База данных'!$E$2:$E$624)</f>
        <v>26</v>
      </c>
      <c r="E287" s="46" t="str">
        <f t="shared" si="8"/>
        <v/>
      </c>
      <c r="F287" s="46">
        <f t="shared" si="9"/>
        <v>117</v>
      </c>
    </row>
    <row r="288" spans="1:6" x14ac:dyDescent="0.35">
      <c r="A288" s="45">
        <v>77010000308</v>
      </c>
      <c r="B288" s="46">
        <f>INDEX('База данных'!$B$2:$B$624,MATCH(A288,'База данных'!$A$2:$A$624,0))</f>
        <v>6</v>
      </c>
      <c r="C288" s="47">
        <f>SUMIF('База данных'!$A$2:$A$624,A288,'База данных'!$D$2:$D$624)</f>
        <v>12.78</v>
      </c>
      <c r="D288" s="46">
        <f>SUMIF('База данных'!$A$2:$A$624,A288,'База данных'!$E$2:$E$624)</f>
        <v>22</v>
      </c>
      <c r="E288" s="46" t="str">
        <f t="shared" si="8"/>
        <v/>
      </c>
      <c r="F288" s="46">
        <f t="shared" si="9"/>
        <v>117</v>
      </c>
    </row>
    <row r="289" spans="1:6" x14ac:dyDescent="0.35">
      <c r="A289" s="45">
        <v>77010000309</v>
      </c>
      <c r="B289" s="46">
        <f>INDEX('База данных'!$B$2:$B$624,MATCH(A289,'База данных'!$A$2:$A$624,0))</f>
        <v>6</v>
      </c>
      <c r="C289" s="47">
        <f>SUMIF('База данных'!$A$2:$A$624,A289,'База данных'!$D$2:$D$624)</f>
        <v>8.52</v>
      </c>
      <c r="D289" s="46">
        <f>SUMIF('База данных'!$A$2:$A$624,A289,'База данных'!$E$2:$E$624)</f>
        <v>11</v>
      </c>
      <c r="E289" s="46" t="str">
        <f t="shared" si="8"/>
        <v/>
      </c>
      <c r="F289" s="46">
        <f t="shared" si="9"/>
        <v>176</v>
      </c>
    </row>
    <row r="290" spans="1:6" x14ac:dyDescent="0.35">
      <c r="A290" s="45">
        <v>77010000310</v>
      </c>
      <c r="B290" s="46">
        <f>INDEX('База данных'!$B$2:$B$624,MATCH(A290,'База данных'!$A$2:$A$624,0))</f>
        <v>6</v>
      </c>
      <c r="C290" s="47">
        <f>SUMIF('База данных'!$A$2:$A$624,A290,'База данных'!$D$2:$D$624)</f>
        <v>8.52</v>
      </c>
      <c r="D290" s="46">
        <f>SUMIF('База данных'!$A$2:$A$624,A290,'База данных'!$E$2:$E$624)</f>
        <v>11</v>
      </c>
      <c r="E290" s="46" t="str">
        <f t="shared" si="8"/>
        <v/>
      </c>
      <c r="F290" s="46">
        <f t="shared" si="9"/>
        <v>176</v>
      </c>
    </row>
    <row r="291" spans="1:6" x14ac:dyDescent="0.35">
      <c r="A291" s="45">
        <v>77010000311</v>
      </c>
      <c r="B291" s="46">
        <f>INDEX('База данных'!$B$2:$B$624,MATCH(A291,'База данных'!$A$2:$A$624,0))</f>
        <v>6</v>
      </c>
      <c r="C291" s="47">
        <f>SUMIF('База данных'!$A$2:$A$624,A291,'База данных'!$D$2:$D$624)</f>
        <v>12.78</v>
      </c>
      <c r="D291" s="46">
        <f>SUMIF('База данных'!$A$2:$A$624,A291,'База данных'!$E$2:$E$624)</f>
        <v>22</v>
      </c>
      <c r="E291" s="46" t="str">
        <f t="shared" si="8"/>
        <v/>
      </c>
      <c r="F291" s="46">
        <f t="shared" si="9"/>
        <v>117</v>
      </c>
    </row>
    <row r="292" spans="1:6" x14ac:dyDescent="0.35">
      <c r="A292" s="45">
        <v>77010000312</v>
      </c>
      <c r="B292" s="46">
        <f>INDEX('База данных'!$B$2:$B$624,MATCH(A292,'База данных'!$A$2:$A$624,0))</f>
        <v>6</v>
      </c>
      <c r="C292" s="47">
        <f>SUMIF('База данных'!$A$2:$A$624,A292,'База данных'!$D$2:$D$624)</f>
        <v>4.26</v>
      </c>
      <c r="D292" s="46">
        <f>SUMIF('База данных'!$A$2:$A$624,A292,'База данных'!$E$2:$E$624)</f>
        <v>5</v>
      </c>
      <c r="E292" s="46" t="str">
        <f t="shared" si="8"/>
        <v/>
      </c>
      <c r="F292" s="46">
        <f t="shared" si="9"/>
        <v>240</v>
      </c>
    </row>
    <row r="293" spans="1:6" x14ac:dyDescent="0.35">
      <c r="A293" s="45">
        <v>77010000313</v>
      </c>
      <c r="B293" s="46">
        <f>INDEX('База данных'!$B$2:$B$624,MATCH(A293,'База данных'!$A$2:$A$624,0))</f>
        <v>6</v>
      </c>
      <c r="C293" s="47">
        <f>SUMIF('База данных'!$A$2:$A$624,A293,'База данных'!$D$2:$D$624)</f>
        <v>8.52</v>
      </c>
      <c r="D293" s="46">
        <f>SUMIF('База данных'!$A$2:$A$624,A293,'База данных'!$E$2:$E$624)</f>
        <v>16</v>
      </c>
      <c r="E293" s="46" t="str">
        <f t="shared" si="8"/>
        <v/>
      </c>
      <c r="F293" s="46">
        <f t="shared" si="9"/>
        <v>176</v>
      </c>
    </row>
  </sheetData>
  <autoFilter ref="A1:F1" xr:uid="{EA8B2189-57FD-48EE-BF88-854FED201685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Расчёт по абонентам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ROG STRIX</cp:lastModifiedBy>
  <cp:lastPrinted>2026-09-28T08:40:54Z</cp:lastPrinted>
  <dcterms:created xsi:type="dcterms:W3CDTF">2010-08-09T12:20:19Z</dcterms:created>
  <dcterms:modified xsi:type="dcterms:W3CDTF">2026-09-28T08:41:11Z</dcterms:modified>
</cp:coreProperties>
</file>